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V-ALUMNO\Downloads\802AV\G05\"/>
    </mc:Choice>
  </mc:AlternateContent>
  <xr:revisionPtr revIDLastSave="0" documentId="13_ncr:1_{802DC81C-F833-42FE-B1A9-050425948929}" xr6:coauthVersionLast="47" xr6:coauthVersionMax="47" xr10:uidLastSave="{00000000-0000-0000-0000-000000000000}"/>
  <bookViews>
    <workbookView xWindow="-120" yWindow="-120" windowWidth="29040" windowHeight="15720" xr2:uid="{00000000-000D-0000-FFFF-FFFF00000000}"/>
  </bookViews>
  <sheets>
    <sheet name="EVALUACION1" sheetId="1" r:id="rId1"/>
    <sheet name="G5" sheetId="3" r:id="rId2"/>
    <sheet name="RUBRICA" sheetId="10" r:id="rId3"/>
    <sheet name="ESCALA_IEP" sheetId="11" state="hidden" r:id="rId4"/>
    <sheet name="ESCALA_PRESENTACION" sheetId="12" state="hidden" r:id="rId5"/>
    <sheet name="ESCALA_TRAB_EQUIP" sheetId="13" state="hidden" r:id="rId6"/>
    <sheet name="RELEVANCIA-PUNTAJE" sheetId="14"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TL">'RELEVANCIA-PUNTAJE'!$B$3</definedName>
    <definedName name="NL">'RELEVANCIA-PUNTAJE'!$E$2</definedName>
    <definedName name="PR">'RELEVANCIA-PUNTAJE'!$A$5</definedName>
    <definedName name="PR_ML">'RELEVANCIA-PUNTAJE'!$D$5</definedName>
    <definedName name="PR_NL">'RELEVANCIA-PUNTAJE'!$E$5</definedName>
    <definedName name="PR_TL">'RELEVANCIA-PUNTAJE'!$B$5</definedName>
    <definedName name="RE">'RELEVANCIA-PUNTAJE'!$A$4</definedName>
    <definedName name="RE_ML">'RELEVANCIA-PUNTAJE'!$D$4</definedName>
    <definedName name="RE_NL">'RELEVANCIA-PUNTAJE'!$E$4</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8" i="1" l="1"/>
  <c r="J67" i="1"/>
  <c r="K67" i="1" s="1"/>
  <c r="H67" i="1"/>
  <c r="H68" i="1" s="1"/>
  <c r="F67" i="1"/>
  <c r="F68" i="1" s="1"/>
  <c r="E67" i="1"/>
  <c r="D67" i="1"/>
  <c r="B67" i="1"/>
  <c r="J66" i="1"/>
  <c r="K66" i="1" s="1"/>
  <c r="H66" i="1"/>
  <c r="I66" i="1" s="1"/>
  <c r="F66" i="1"/>
  <c r="G66" i="1" s="1"/>
  <c r="D66" i="1"/>
  <c r="E66" i="1" s="1"/>
  <c r="B66" i="1"/>
  <c r="J65" i="1"/>
  <c r="K65" i="1" s="1"/>
  <c r="K68" i="1" s="1"/>
  <c r="I65" i="1"/>
  <c r="H65" i="1"/>
  <c r="F65" i="1"/>
  <c r="G65" i="1" s="1"/>
  <c r="E65" i="1"/>
  <c r="E68" i="1" s="1"/>
  <c r="D65" i="1"/>
  <c r="B65" i="1"/>
  <c r="C61" i="1"/>
  <c r="J57" i="1"/>
  <c r="H57" i="1"/>
  <c r="F57" i="1"/>
  <c r="J56" i="1"/>
  <c r="K56" i="1" s="1"/>
  <c r="H56" i="1"/>
  <c r="I56" i="1" s="1"/>
  <c r="F56" i="1"/>
  <c r="G56" i="1" s="1"/>
  <c r="D56" i="1"/>
  <c r="E56" i="1" s="1"/>
  <c r="B56" i="1"/>
  <c r="J55" i="1"/>
  <c r="K55" i="1" s="1"/>
  <c r="H55" i="1"/>
  <c r="I55" i="1" s="1"/>
  <c r="F55" i="1"/>
  <c r="G55" i="1" s="1"/>
  <c r="D55" i="1"/>
  <c r="E55" i="1" s="1"/>
  <c r="B55" i="1"/>
  <c r="J54" i="1"/>
  <c r="K54" i="1" s="1"/>
  <c r="H54" i="1"/>
  <c r="I54" i="1" s="1"/>
  <c r="F54" i="1"/>
  <c r="G54" i="1" s="1"/>
  <c r="E54" i="1"/>
  <c r="D54" i="1"/>
  <c r="B54" i="1"/>
  <c r="C50" i="1"/>
  <c r="J45" i="1"/>
  <c r="K45" i="1" s="1"/>
  <c r="H45" i="1"/>
  <c r="I45" i="1" s="1"/>
  <c r="G45" i="1"/>
  <c r="F45" i="1"/>
  <c r="D45" i="1"/>
  <c r="E45" i="1" s="1"/>
  <c r="B45" i="1"/>
  <c r="J44" i="1"/>
  <c r="K44" i="1" s="1"/>
  <c r="H44" i="1"/>
  <c r="I44" i="1" s="1"/>
  <c r="F44" i="1"/>
  <c r="G44" i="1" s="1"/>
  <c r="D44" i="1"/>
  <c r="E44" i="1" s="1"/>
  <c r="B44" i="1"/>
  <c r="K43" i="1"/>
  <c r="K46" i="1" s="1"/>
  <c r="J43" i="1"/>
  <c r="H43" i="1"/>
  <c r="I43" i="1" s="1"/>
  <c r="I46" i="1" s="1"/>
  <c r="F43" i="1"/>
  <c r="G43" i="1" s="1"/>
  <c r="G46" i="1" s="1"/>
  <c r="D43" i="1"/>
  <c r="E43" i="1" s="1"/>
  <c r="E46" i="1" s="1"/>
  <c r="C46" i="1" s="1"/>
  <c r="C47" i="1" s="1"/>
  <c r="D5" i="1" s="1"/>
  <c r="B43" i="1"/>
  <c r="C39" i="1"/>
  <c r="J33" i="1"/>
  <c r="K33" i="1" s="1"/>
  <c r="I33" i="1"/>
  <c r="H33" i="1"/>
  <c r="F33" i="1"/>
  <c r="G33" i="1" s="1"/>
  <c r="D33" i="1"/>
  <c r="E33" i="1" s="1"/>
  <c r="B33" i="1"/>
  <c r="J32" i="1"/>
  <c r="K32" i="1" s="1"/>
  <c r="H32" i="1"/>
  <c r="I32" i="1" s="1"/>
  <c r="F32" i="1"/>
  <c r="G32" i="1" s="1"/>
  <c r="D32" i="1"/>
  <c r="E32" i="1" s="1"/>
  <c r="B32" i="1"/>
  <c r="J31" i="1"/>
  <c r="K31" i="1" s="1"/>
  <c r="K34" i="1" s="1"/>
  <c r="H31" i="1"/>
  <c r="I31" i="1" s="1"/>
  <c r="I34" i="1" s="1"/>
  <c r="F31" i="1"/>
  <c r="G31" i="1" s="1"/>
  <c r="G34" i="1" s="1"/>
  <c r="D31" i="1"/>
  <c r="E31" i="1" s="1"/>
  <c r="E34" i="1" s="1"/>
  <c r="C34" i="1" s="1"/>
  <c r="C35" i="1" s="1"/>
  <c r="D4" i="1" s="1"/>
  <c r="B31" i="1"/>
  <c r="C27" i="1"/>
  <c r="J22" i="1"/>
  <c r="K22" i="1" s="1"/>
  <c r="H22" i="1"/>
  <c r="I22" i="1" s="1"/>
  <c r="F22" i="1"/>
  <c r="G22" i="1" s="1"/>
  <c r="E22" i="1"/>
  <c r="D22" i="1"/>
  <c r="B22" i="1"/>
  <c r="J21" i="1"/>
  <c r="K21" i="1" s="1"/>
  <c r="H21" i="1"/>
  <c r="I21" i="1" s="1"/>
  <c r="F21" i="1"/>
  <c r="G21" i="1" s="1"/>
  <c r="D21" i="1"/>
  <c r="E21" i="1" s="1"/>
  <c r="B21" i="1"/>
  <c r="J20" i="1"/>
  <c r="K20" i="1" s="1"/>
  <c r="I20" i="1"/>
  <c r="H20" i="1"/>
  <c r="F20" i="1"/>
  <c r="G20" i="1" s="1"/>
  <c r="E20" i="1"/>
  <c r="D20" i="1"/>
  <c r="B20" i="1"/>
  <c r="J19" i="1"/>
  <c r="K19" i="1" s="1"/>
  <c r="I19" i="1"/>
  <c r="H19" i="1"/>
  <c r="F19" i="1"/>
  <c r="G19" i="1" s="1"/>
  <c r="D19" i="1"/>
  <c r="E19" i="1" s="1"/>
  <c r="B19" i="1"/>
  <c r="J18" i="1"/>
  <c r="K18" i="1" s="1"/>
  <c r="H18" i="1"/>
  <c r="I18" i="1" s="1"/>
  <c r="F18" i="1"/>
  <c r="G18" i="1" s="1"/>
  <c r="D18" i="1"/>
  <c r="E18" i="1" s="1"/>
  <c r="B18" i="1"/>
  <c r="J17" i="1"/>
  <c r="K17" i="1" s="1"/>
  <c r="H17" i="1"/>
  <c r="I17" i="1" s="1"/>
  <c r="F17" i="1"/>
  <c r="G17" i="1" s="1"/>
  <c r="D17" i="1"/>
  <c r="E17" i="1" s="1"/>
  <c r="B17" i="1"/>
  <c r="J16" i="1"/>
  <c r="K16" i="1" s="1"/>
  <c r="H16" i="1"/>
  <c r="I16" i="1" s="1"/>
  <c r="F16" i="1"/>
  <c r="G16" i="1" s="1"/>
  <c r="D16" i="1"/>
  <c r="E16" i="1" s="1"/>
  <c r="B16" i="1"/>
  <c r="J15" i="1"/>
  <c r="K15" i="1" s="1"/>
  <c r="H15" i="1"/>
  <c r="I15" i="1" s="1"/>
  <c r="F15" i="1"/>
  <c r="G15" i="1" s="1"/>
  <c r="D15" i="1"/>
  <c r="E15" i="1" s="1"/>
  <c r="B15" i="1"/>
  <c r="J14" i="1"/>
  <c r="K14" i="1" s="1"/>
  <c r="H14" i="1"/>
  <c r="I14" i="1" s="1"/>
  <c r="G14" i="1"/>
  <c r="F14" i="1"/>
  <c r="D14" i="1"/>
  <c r="E14" i="1" s="1"/>
  <c r="B14" i="1"/>
  <c r="J13" i="1"/>
  <c r="K13" i="1" s="1"/>
  <c r="H13" i="1"/>
  <c r="I13" i="1" s="1"/>
  <c r="F13" i="1"/>
  <c r="G13" i="1" s="1"/>
  <c r="D13" i="1"/>
  <c r="E13" i="1" s="1"/>
  <c r="E23" i="1" s="1"/>
  <c r="B13" i="1"/>
  <c r="C7" i="1"/>
  <c r="C6" i="1"/>
  <c r="C5" i="1"/>
  <c r="C4" i="1"/>
  <c r="D7" i="3"/>
  <c r="C7" i="3"/>
  <c r="E7" i="3"/>
  <c r="C61" i="3"/>
  <c r="B67" i="3"/>
  <c r="B66" i="3"/>
  <c r="B55" i="3"/>
  <c r="B65" i="3"/>
  <c r="B54" i="3"/>
  <c r="J67" i="3"/>
  <c r="K67" i="3" s="1"/>
  <c r="H67" i="3"/>
  <c r="I67" i="3" s="1"/>
  <c r="F67" i="3"/>
  <c r="G67" i="3" s="1"/>
  <c r="D67" i="3"/>
  <c r="E67" i="3" s="1"/>
  <c r="J66" i="3"/>
  <c r="J68" i="3" s="1"/>
  <c r="H66" i="3"/>
  <c r="H68" i="3" s="1"/>
  <c r="F66" i="3"/>
  <c r="F68" i="3" s="1"/>
  <c r="D66" i="3"/>
  <c r="D68" i="3" s="1"/>
  <c r="J65" i="3"/>
  <c r="K65" i="3" s="1"/>
  <c r="H65" i="3"/>
  <c r="I65" i="3" s="1"/>
  <c r="F65" i="3"/>
  <c r="G65" i="3" s="1"/>
  <c r="E65" i="3"/>
  <c r="D65" i="3"/>
  <c r="J56" i="3"/>
  <c r="K56" i="3" s="1"/>
  <c r="H56" i="3"/>
  <c r="I56" i="3" s="1"/>
  <c r="F56" i="3"/>
  <c r="G56" i="3" s="1"/>
  <c r="E56" i="3"/>
  <c r="D56" i="3"/>
  <c r="B56" i="3"/>
  <c r="J55" i="3"/>
  <c r="K55" i="3" s="1"/>
  <c r="H55" i="3"/>
  <c r="I55" i="3" s="1"/>
  <c r="F55" i="3"/>
  <c r="G55" i="3" s="1"/>
  <c r="D55" i="3"/>
  <c r="J54" i="3"/>
  <c r="J57" i="3" s="1"/>
  <c r="I54" i="3"/>
  <c r="H54" i="3"/>
  <c r="G54" i="3"/>
  <c r="F54" i="3"/>
  <c r="D54" i="3"/>
  <c r="E54" i="3" s="1"/>
  <c r="C50" i="3"/>
  <c r="K45" i="3"/>
  <c r="J45" i="3"/>
  <c r="H45" i="3"/>
  <c r="I45" i="3" s="1"/>
  <c r="G45" i="3"/>
  <c r="F45" i="3"/>
  <c r="D45" i="3"/>
  <c r="E45" i="3" s="1"/>
  <c r="B45" i="3"/>
  <c r="J44" i="3"/>
  <c r="K44" i="3" s="1"/>
  <c r="H44" i="3"/>
  <c r="I44" i="3" s="1"/>
  <c r="F44" i="3"/>
  <c r="G44" i="3" s="1"/>
  <c r="E44" i="3"/>
  <c r="E46" i="3" s="1"/>
  <c r="D44" i="3"/>
  <c r="B44" i="3"/>
  <c r="J43" i="3"/>
  <c r="K43" i="3" s="1"/>
  <c r="H43" i="3"/>
  <c r="I43" i="3" s="1"/>
  <c r="I46" i="3" s="1"/>
  <c r="F43" i="3"/>
  <c r="G43" i="3" s="1"/>
  <c r="D43" i="3"/>
  <c r="E43" i="3" s="1"/>
  <c r="B43" i="3"/>
  <c r="C39" i="3"/>
  <c r="J33" i="3"/>
  <c r="K33" i="3" s="1"/>
  <c r="I33" i="3"/>
  <c r="H33" i="3"/>
  <c r="F33" i="3"/>
  <c r="G33" i="3" s="1"/>
  <c r="D33" i="3"/>
  <c r="E33" i="3" s="1"/>
  <c r="B33" i="3"/>
  <c r="J32" i="3"/>
  <c r="K32" i="3" s="1"/>
  <c r="H32" i="3"/>
  <c r="I32" i="3" s="1"/>
  <c r="F32" i="3"/>
  <c r="G32" i="3" s="1"/>
  <c r="D32" i="3"/>
  <c r="E32" i="3" s="1"/>
  <c r="B32" i="3"/>
  <c r="J31" i="3"/>
  <c r="K31" i="3" s="1"/>
  <c r="H31" i="3"/>
  <c r="I31" i="3" s="1"/>
  <c r="G31" i="3"/>
  <c r="F31" i="3"/>
  <c r="D31" i="3"/>
  <c r="E31" i="3" s="1"/>
  <c r="B31" i="3"/>
  <c r="C27" i="3"/>
  <c r="K22" i="3"/>
  <c r="J22" i="3"/>
  <c r="H22" i="3"/>
  <c r="I22" i="3" s="1"/>
  <c r="F22" i="3"/>
  <c r="G22" i="3" s="1"/>
  <c r="D22" i="3"/>
  <c r="E22" i="3" s="1"/>
  <c r="B22" i="3"/>
  <c r="K21" i="3"/>
  <c r="J21" i="3"/>
  <c r="H21" i="3"/>
  <c r="I21" i="3" s="1"/>
  <c r="F21" i="3"/>
  <c r="G21" i="3" s="1"/>
  <c r="D21" i="3"/>
  <c r="E21" i="3" s="1"/>
  <c r="B21" i="3"/>
  <c r="J20" i="3"/>
  <c r="K20" i="3" s="1"/>
  <c r="H20" i="3"/>
  <c r="I20" i="3" s="1"/>
  <c r="F20" i="3"/>
  <c r="G20" i="3" s="1"/>
  <c r="D20" i="3"/>
  <c r="E20" i="3" s="1"/>
  <c r="B20" i="3"/>
  <c r="J19" i="3"/>
  <c r="K19" i="3" s="1"/>
  <c r="H19" i="3"/>
  <c r="I19" i="3" s="1"/>
  <c r="F19" i="3"/>
  <c r="G19" i="3" s="1"/>
  <c r="E19" i="3"/>
  <c r="D19" i="3"/>
  <c r="B19" i="3"/>
  <c r="J18" i="3"/>
  <c r="K18" i="3" s="1"/>
  <c r="I18" i="3"/>
  <c r="H18" i="3"/>
  <c r="F18" i="3"/>
  <c r="G18" i="3" s="1"/>
  <c r="D18" i="3"/>
  <c r="E18" i="3" s="1"/>
  <c r="B18" i="3"/>
  <c r="J17" i="3"/>
  <c r="K17" i="3" s="1"/>
  <c r="H17" i="3"/>
  <c r="I17" i="3" s="1"/>
  <c r="F17" i="3"/>
  <c r="G17" i="3" s="1"/>
  <c r="D17" i="3"/>
  <c r="E17" i="3" s="1"/>
  <c r="B17" i="3"/>
  <c r="J16" i="3"/>
  <c r="K16" i="3" s="1"/>
  <c r="H16" i="3"/>
  <c r="I16" i="3" s="1"/>
  <c r="F16" i="3"/>
  <c r="G16" i="3" s="1"/>
  <c r="D16" i="3"/>
  <c r="E16" i="3" s="1"/>
  <c r="B16" i="3"/>
  <c r="J15" i="3"/>
  <c r="K15" i="3" s="1"/>
  <c r="H15" i="3"/>
  <c r="I15" i="3" s="1"/>
  <c r="F15" i="3"/>
  <c r="G15" i="3" s="1"/>
  <c r="D15" i="3"/>
  <c r="E15" i="3" s="1"/>
  <c r="B15" i="3"/>
  <c r="K14" i="3"/>
  <c r="J14" i="3"/>
  <c r="H14" i="3"/>
  <c r="I14" i="3" s="1"/>
  <c r="G14" i="3"/>
  <c r="F14" i="3"/>
  <c r="D14" i="3"/>
  <c r="E14" i="3" s="1"/>
  <c r="B14" i="3"/>
  <c r="J13" i="3"/>
  <c r="K13" i="3" s="1"/>
  <c r="H13" i="3"/>
  <c r="I13" i="3" s="1"/>
  <c r="F13" i="3"/>
  <c r="G13" i="3" s="1"/>
  <c r="D13" i="3"/>
  <c r="E13" i="3" s="1"/>
  <c r="B13" i="3"/>
  <c r="E4" i="1" l="1"/>
  <c r="E5" i="1"/>
  <c r="G23" i="1"/>
  <c r="C23" i="1" s="1"/>
  <c r="C24" i="1" s="1"/>
  <c r="I23" i="1"/>
  <c r="K23" i="1"/>
  <c r="E57" i="1"/>
  <c r="G57" i="1"/>
  <c r="I57" i="1"/>
  <c r="K57" i="1"/>
  <c r="J68" i="1"/>
  <c r="D57" i="1"/>
  <c r="G67" i="1"/>
  <c r="G68" i="1" s="1"/>
  <c r="I67" i="1"/>
  <c r="I68" i="1" s="1"/>
  <c r="K23" i="3"/>
  <c r="K66" i="3"/>
  <c r="K68" i="3"/>
  <c r="G34" i="3"/>
  <c r="I34" i="3"/>
  <c r="E66" i="3"/>
  <c r="E68" i="3" s="1"/>
  <c r="I66" i="3"/>
  <c r="I68" i="3" s="1"/>
  <c r="G66" i="3"/>
  <c r="G68" i="3" s="1"/>
  <c r="I23" i="3"/>
  <c r="G46" i="3"/>
  <c r="C46" i="3" s="1"/>
  <c r="C47" i="3" s="1"/>
  <c r="D5" i="3" s="1"/>
  <c r="D57" i="3"/>
  <c r="E55" i="3"/>
  <c r="E57" i="3" s="1"/>
  <c r="G23" i="3"/>
  <c r="G57" i="3"/>
  <c r="K54" i="3"/>
  <c r="K57" i="3" s="1"/>
  <c r="K34" i="3"/>
  <c r="E34" i="3"/>
  <c r="I57" i="3"/>
  <c r="K46" i="3"/>
  <c r="E23" i="3"/>
  <c r="C23" i="3" s="1"/>
  <c r="C24" i="3" s="1"/>
  <c r="H57" i="3"/>
  <c r="F57" i="3"/>
  <c r="C68" i="1" l="1"/>
  <c r="C69" i="1" s="1"/>
  <c r="D7" i="1" s="1"/>
  <c r="E7" i="1" s="1"/>
  <c r="C57" i="1"/>
  <c r="C58" i="1" s="1"/>
  <c r="D6" i="1" s="1"/>
  <c r="E6" i="1" s="1"/>
  <c r="C34" i="3"/>
  <c r="C35" i="3" s="1"/>
  <c r="D4" i="3" s="1"/>
  <c r="C68" i="3"/>
  <c r="C69" i="3" s="1"/>
  <c r="C6" i="3"/>
  <c r="C5" i="3"/>
  <c r="E5" i="3" s="1"/>
  <c r="C4" i="3"/>
  <c r="C57" i="3"/>
  <c r="C58" i="3" s="1"/>
  <c r="D6" i="3" s="1"/>
  <c r="E4" i="3" l="1"/>
  <c r="E6" i="3"/>
</calcChain>
</file>

<file path=xl/sharedStrings.xml><?xml version="1.0" encoding="utf-8"?>
<sst xmlns="http://schemas.openxmlformats.org/spreadsheetml/2006/main" count="260" uniqueCount="99">
  <si>
    <t>INTEGRANTES</t>
  </si>
  <si>
    <t xml:space="preserve">IEP o IEE: </t>
  </si>
  <si>
    <t>EMPLEAB</t>
  </si>
  <si>
    <t>BARRAZA LEIVA JUAN CARLOS</t>
  </si>
  <si>
    <t>CALFUCURA AVENDANO PABLO NICOLAS</t>
  </si>
  <si>
    <t>ORELLANA BARRIOS AMARU DANTE ALFONSO</t>
  </si>
  <si>
    <t>GRUPAL</t>
  </si>
  <si>
    <t>VALLEJOS FLORES MARTIN SANTIAGO</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</si>
  <si>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</si>
  <si>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</si>
  <si>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</si>
  <si>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</si>
  <si>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</si>
  <si>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</si>
  <si>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</si>
  <si>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</si>
  <si>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</si>
  <si>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</si>
  <si>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</si>
  <si>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</si>
  <si>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</si>
  <si>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</si>
  <si>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Logro incipiente</t>
  </si>
  <si>
    <t>Indicador de Evaluación</t>
  </si>
  <si>
    <t>Categorías de Respuesta</t>
  </si>
  <si>
    <t>Ponderación del Indicador de Evaluación</t>
  </si>
  <si>
    <r>
      <rPr>
        <b/>
        <sz val="11"/>
        <color rgb="FFFFFFFF"/>
        <rFont val="Calibri"/>
      </rPr>
      <t>Completamente Logrado (</t>
    </r>
    <r>
      <rPr>
        <b/>
        <sz val="10"/>
        <color rgb="FFFFFFFF"/>
        <rFont val="Calibri"/>
      </rPr>
      <t>100%)</t>
    </r>
  </si>
  <si>
    <r>
      <rPr>
        <b/>
        <sz val="11"/>
        <color rgb="FFFFFFFF"/>
        <rFont val="Calibri"/>
      </rPr>
      <t>Logrado</t>
    </r>
    <r>
      <rPr>
        <b/>
        <sz val="10"/>
        <color rgb="FFFFFFFF"/>
        <rFont val="Calibri"/>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</si>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</sst>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font>
      <sz val="11"/>
      <color rgb="FF000000"/>
      <name val="Calibri"/>
      <scheme val="minor"/>
    </font>
    <font>
      <sz val="11"/>
      <color rgb="FF000000"/>
      <name val="Calibri"/>
    </font>
    <font>
      <b/>
      <sz val="11"/>
      <color rgb="FF000000"/>
      <name val="Calibri"/>
    </font>
    <font>
      <sz val="11"/>
      <name val="Calibri"/>
    </font>
    <font>
      <sz val="11"/>
      <color theme="1"/>
      <name val="Calibri"/>
    </font>
    <font>
      <sz val="20"/>
      <color rgb="FF000000"/>
      <name val="Calibri"/>
    </font>
    <font>
      <b/>
      <sz val="14"/>
      <color rgb="FF000000"/>
      <name val="Calibri"/>
    </font>
    <font>
      <b/>
      <sz val="10"/>
      <color rgb="FF000000"/>
      <name val="Calibri"/>
    </font>
    <font>
      <sz val="11"/>
      <color theme="1"/>
      <name val="Calibri"/>
      <scheme val="minor"/>
    </font>
    <font>
      <sz val="9"/>
      <color rgb="FF000000"/>
      <name val="Calibri"/>
    </font>
    <font>
      <sz val="10"/>
      <color rgb="FF000000"/>
      <name val="Calibri"/>
    </font>
    <font>
      <sz val="14"/>
      <color rgb="FF000000"/>
      <name val="Calibri"/>
    </font>
    <font>
      <sz val="16"/>
      <color rgb="FF000000"/>
      <name val="Calibri"/>
    </font>
    <font>
      <b/>
      <sz val="10"/>
      <color rgb="FFFFFFFF"/>
      <name val="Calibri"/>
    </font>
    <font>
      <b/>
      <sz val="11"/>
      <color rgb="FFFFFFFF"/>
      <name val="Calibri"/>
    </font>
    <font>
      <b/>
      <sz val="10"/>
      <color rgb="FF3B3838"/>
      <name val="Calibri"/>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F2F5F7"/>
        <bgColor rgb="FFF2F5F7"/>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
      <patternFill patternType="solid">
        <fgColor rgb="FF262626"/>
        <bgColor rgb="FF262626"/>
      </patternFill>
    </fill>
  </fills>
  <borders count="3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FFFFFF"/>
      </left>
      <right style="thin">
        <color rgb="FFFFFFFF"/>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diagonal/>
    </border>
    <border>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style="medium">
        <color rgb="FF7F7F7F"/>
      </bottom>
      <diagonal/>
    </border>
    <border>
      <left/>
      <right style="medium">
        <color rgb="FF7F7F7F"/>
      </right>
      <top/>
      <bottom/>
      <diagonal/>
    </border>
    <border>
      <left/>
      <right style="medium">
        <color rgb="FF7F7F7F"/>
      </right>
      <top style="medium">
        <color rgb="FF7F7F7F"/>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79">
    <xf numFmtId="0" fontId="0" fillId="0" borderId="0" xfId="0" applyFont="1" applyAlignment="1"/>
    <xf numFmtId="9" fontId="1" fillId="2" borderId="1" xfId="0" applyNumberFormat="1" applyFont="1" applyFill="1" applyBorder="1" applyAlignment="1">
      <alignment horizontal="center" vertical="center" wrapText="1"/>
    </xf>
    <xf numFmtId="0" fontId="2" fillId="0" borderId="0" xfId="0" applyFont="1"/>
    <xf numFmtId="0" fontId="1" fillId="2" borderId="1" xfId="0" applyFont="1" applyFill="1" applyBorder="1" applyAlignment="1">
      <alignment horizontal="center" vertical="center" wrapText="1"/>
    </xf>
    <xf numFmtId="0" fontId="1" fillId="0" borderId="0" xfId="0" applyFont="1" applyAlignment="1">
      <alignment horizontal="right" vertical="center"/>
    </xf>
    <xf numFmtId="0" fontId="4" fillId="4" borderId="5" xfId="0" applyFont="1" applyFill="1" applyBorder="1" applyAlignment="1"/>
    <xf numFmtId="164" fontId="1" fillId="2" borderId="1" xfId="0" applyNumberFormat="1" applyFont="1" applyFill="1" applyBorder="1" applyAlignment="1">
      <alignment horizontal="center"/>
    </xf>
    <xf numFmtId="164" fontId="1" fillId="3" borderId="1" xfId="0" applyNumberFormat="1" applyFont="1" applyFill="1" applyBorder="1" applyAlignment="1">
      <alignment horizontal="center"/>
    </xf>
    <xf numFmtId="164" fontId="1" fillId="0" borderId="0" xfId="0" applyNumberFormat="1" applyFont="1"/>
    <xf numFmtId="0" fontId="4" fillId="4" borderId="5" xfId="0" applyFont="1" applyFill="1" applyBorder="1" applyAlignment="1"/>
    <xf numFmtId="0" fontId="6" fillId="6" borderId="1" xfId="0" applyFont="1" applyFill="1" applyBorder="1" applyAlignment="1">
      <alignment horizontal="center" vertical="center"/>
    </xf>
    <xf numFmtId="0" fontId="7" fillId="6" borderId="9" xfId="0" applyFont="1" applyFill="1" applyBorder="1" applyAlignment="1">
      <alignment horizontal="center" vertical="center"/>
    </xf>
    <xf numFmtId="0" fontId="9" fillId="0" borderId="1" xfId="0" applyFont="1" applyBorder="1" applyAlignment="1">
      <alignment horizontal="left" vertical="center" wrapText="1"/>
    </xf>
    <xf numFmtId="0" fontId="10" fillId="0" borderId="7" xfId="0" applyFont="1" applyBorder="1" applyAlignment="1">
      <alignment horizontal="left" vertical="center"/>
    </xf>
    <xf numFmtId="0" fontId="10" fillId="0" borderId="1" xfId="0" applyFont="1" applyBorder="1" applyAlignment="1">
      <alignment horizontal="center" vertical="center"/>
    </xf>
    <xf numFmtId="0" fontId="9" fillId="0" borderId="3" xfId="0" applyFont="1" applyBorder="1" applyAlignment="1">
      <alignment horizontal="right" vertical="center" wrapText="1"/>
    </xf>
    <xf numFmtId="0" fontId="11" fillId="0" borderId="2" xfId="0" applyFont="1" applyBorder="1"/>
    <xf numFmtId="0" fontId="1" fillId="7" borderId="1" xfId="0" applyFont="1" applyFill="1" applyBorder="1"/>
    <xf numFmtId="0" fontId="9" fillId="0" borderId="4" xfId="0" applyFont="1" applyBorder="1" applyAlignment="1">
      <alignment horizontal="right" vertical="center" wrapText="1"/>
    </xf>
    <xf numFmtId="164" fontId="11" fillId="0" borderId="1" xfId="0" applyNumberFormat="1" applyFont="1" applyBorder="1"/>
    <xf numFmtId="0" fontId="7" fillId="6" borderId="1" xfId="0" applyFont="1" applyFill="1" applyBorder="1" applyAlignment="1">
      <alignment horizontal="center" vertical="center"/>
    </xf>
    <xf numFmtId="0" fontId="2" fillId="0" borderId="1" xfId="0" applyFont="1" applyBorder="1" applyAlignment="1">
      <alignment horizontal="right" vertical="center" wrapText="1"/>
    </xf>
    <xf numFmtId="0" fontId="11" fillId="0" borderId="1" xfId="0" applyFont="1" applyBorder="1"/>
    <xf numFmtId="0" fontId="9" fillId="0" borderId="1" xfId="0" applyFont="1" applyBorder="1" applyAlignment="1">
      <alignment horizontal="right" vertical="center" wrapText="1"/>
    </xf>
    <xf numFmtId="0" fontId="9" fillId="0" borderId="0" xfId="0" applyFont="1" applyAlignment="1">
      <alignment horizontal="right" vertical="center" wrapText="1"/>
    </xf>
    <xf numFmtId="164" fontId="11" fillId="0" borderId="0" xfId="0" applyNumberFormat="1" applyFont="1"/>
    <xf numFmtId="0" fontId="10" fillId="0" borderId="7" xfId="0" applyFont="1" applyBorder="1" applyAlignment="1">
      <alignment horizontal="left" vertical="center"/>
    </xf>
    <xf numFmtId="0" fontId="14" fillId="9" borderId="21" xfId="0" applyFont="1" applyFill="1" applyBorder="1" applyAlignment="1">
      <alignment horizontal="center" vertical="center" wrapText="1"/>
    </xf>
    <xf numFmtId="0" fontId="13" fillId="9" borderId="21" xfId="0" applyFont="1" applyFill="1" applyBorder="1" applyAlignment="1">
      <alignment horizontal="center" vertical="center" wrapText="1"/>
    </xf>
    <xf numFmtId="9" fontId="13" fillId="9" borderId="23" xfId="0" applyNumberFormat="1" applyFont="1" applyFill="1" applyBorder="1" applyAlignment="1">
      <alignment horizontal="center" vertical="center" wrapText="1"/>
    </xf>
    <xf numFmtId="0" fontId="10" fillId="0" borderId="22" xfId="0" applyFont="1" applyBorder="1" applyAlignment="1">
      <alignment horizontal="left" vertical="center" wrapText="1"/>
    </xf>
    <xf numFmtId="0" fontId="10" fillId="0" borderId="24" xfId="0" applyFont="1" applyBorder="1" applyAlignment="1">
      <alignment horizontal="left" vertical="center" wrapText="1"/>
    </xf>
    <xf numFmtId="0" fontId="15" fillId="0" borderId="24" xfId="0" applyFont="1" applyBorder="1" applyAlignment="1">
      <alignment horizontal="center" vertical="center" wrapText="1"/>
    </xf>
    <xf numFmtId="0" fontId="10" fillId="0" borderId="16" xfId="0" applyFont="1" applyBorder="1" applyAlignment="1">
      <alignment horizontal="left" vertical="center" wrapText="1"/>
    </xf>
    <xf numFmtId="0" fontId="10" fillId="0" borderId="25" xfId="0" applyFont="1" applyBorder="1" applyAlignment="1">
      <alignment horizontal="left" vertical="center" wrapText="1"/>
    </xf>
    <xf numFmtId="0" fontId="15" fillId="0" borderId="16" xfId="0" applyFont="1" applyBorder="1" applyAlignment="1">
      <alignment horizontal="center" vertical="center" wrapText="1"/>
    </xf>
    <xf numFmtId="0" fontId="10" fillId="0" borderId="1" xfId="0" applyFont="1" applyBorder="1" applyAlignment="1">
      <alignment horizontal="left" vertical="center" wrapText="1"/>
    </xf>
    <xf numFmtId="0" fontId="15" fillId="0" borderId="26" xfId="0" applyFont="1" applyBorder="1" applyAlignment="1">
      <alignment horizontal="center" vertical="center" wrapText="1"/>
    </xf>
    <xf numFmtId="0" fontId="10" fillId="0" borderId="20" xfId="0" applyFont="1" applyBorder="1" applyAlignment="1">
      <alignment horizontal="left" vertical="center" wrapText="1"/>
    </xf>
    <xf numFmtId="0" fontId="15" fillId="0" borderId="25" xfId="0" applyFont="1" applyBorder="1" applyAlignment="1">
      <alignment horizontal="center" vertical="center" wrapText="1"/>
    </xf>
    <xf numFmtId="0" fontId="15" fillId="0" borderId="1" xfId="0" applyFont="1" applyBorder="1" applyAlignment="1">
      <alignment horizontal="center" vertical="center" wrapText="1"/>
    </xf>
    <xf numFmtId="9" fontId="15" fillId="0" borderId="24" xfId="0" applyNumberFormat="1" applyFont="1" applyBorder="1" applyAlignment="1">
      <alignment horizontal="center" vertical="center" wrapText="1"/>
    </xf>
    <xf numFmtId="0" fontId="8" fillId="0" borderId="0" xfId="0" applyFont="1"/>
    <xf numFmtId="164" fontId="1" fillId="0" borderId="0" xfId="0" applyNumberFormat="1" applyFont="1" applyAlignment="1">
      <alignment horizontal="right"/>
    </xf>
    <xf numFmtId="0" fontId="2" fillId="6" borderId="28" xfId="0" applyFont="1" applyFill="1" applyBorder="1" applyAlignment="1">
      <alignment vertical="center" wrapText="1"/>
    </xf>
    <xf numFmtId="0" fontId="2" fillId="6" borderId="29" xfId="0" applyFont="1" applyFill="1" applyBorder="1" applyAlignment="1">
      <alignment vertical="center" wrapText="1"/>
    </xf>
    <xf numFmtId="0" fontId="2" fillId="6" borderId="30" xfId="0" applyFont="1" applyFill="1" applyBorder="1" applyAlignment="1">
      <alignment vertical="center" wrapText="1"/>
    </xf>
    <xf numFmtId="0" fontId="2" fillId="6" borderId="32" xfId="0" applyFont="1" applyFill="1" applyBorder="1" applyAlignment="1">
      <alignment vertical="center" wrapText="1"/>
    </xf>
    <xf numFmtId="0" fontId="2" fillId="6" borderId="33" xfId="0" applyFont="1" applyFill="1" applyBorder="1" applyAlignment="1">
      <alignment vertical="center" wrapText="1"/>
    </xf>
    <xf numFmtId="0" fontId="2" fillId="6" borderId="34" xfId="0" applyFont="1" applyFill="1" applyBorder="1" applyAlignment="1">
      <alignment vertical="center" wrapText="1"/>
    </xf>
    <xf numFmtId="0" fontId="2" fillId="0" borderId="31" xfId="0" applyFont="1" applyBorder="1" applyAlignment="1">
      <alignment horizontal="left" vertical="center" wrapText="1"/>
    </xf>
    <xf numFmtId="0" fontId="2" fillId="0" borderId="35" xfId="0" applyFont="1" applyBorder="1" applyAlignment="1">
      <alignment horizontal="left" vertical="center" wrapText="1"/>
    </xf>
    <xf numFmtId="0" fontId="5" fillId="5" borderId="2" xfId="0" applyFont="1" applyFill="1" applyBorder="1" applyAlignment="1">
      <alignment horizontal="center" vertical="center" textRotation="255"/>
    </xf>
    <xf numFmtId="0" fontId="3" fillId="0" borderId="8" xfId="0" applyFont="1" applyBorder="1"/>
    <xf numFmtId="0" fontId="3" fillId="0" borderId="3" xfId="0" applyFont="1" applyBorder="1"/>
    <xf numFmtId="0" fontId="1" fillId="8" borderId="2" xfId="0" applyFont="1" applyFill="1" applyBorder="1" applyAlignment="1">
      <alignment horizontal="center" vertical="center" textRotation="255"/>
    </xf>
    <xf numFmtId="0" fontId="1" fillId="3" borderId="2" xfId="0" applyFont="1" applyFill="1" applyBorder="1" applyAlignment="1">
      <alignment horizontal="right" vertical="center"/>
    </xf>
    <xf numFmtId="9" fontId="1" fillId="3"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3" fillId="0" borderId="6" xfId="0" applyFont="1" applyBorder="1"/>
    <xf numFmtId="0" fontId="3" fillId="0" borderId="7" xfId="0" applyFont="1" applyBorder="1"/>
    <xf numFmtId="0" fontId="12" fillId="0" borderId="10" xfId="0" applyFont="1" applyBorder="1" applyAlignment="1">
      <alignment horizontal="left" vertical="center"/>
    </xf>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3" fillId="0" borderId="15" xfId="0" applyFont="1" applyBorder="1"/>
    <xf numFmtId="0" fontId="15" fillId="0" borderId="17" xfId="0" applyFont="1" applyBorder="1" applyAlignment="1">
      <alignment horizontal="right" vertical="center" wrapText="1"/>
    </xf>
    <xf numFmtId="0" fontId="3" fillId="0" borderId="18" xfId="0" applyFont="1" applyBorder="1"/>
    <xf numFmtId="0" fontId="3" fillId="0" borderId="19" xfId="0" applyFont="1" applyBorder="1"/>
    <xf numFmtId="0" fontId="13" fillId="9" borderId="16" xfId="0" applyFont="1" applyFill="1" applyBorder="1" applyAlignment="1">
      <alignment horizontal="center" vertical="center" wrapText="1"/>
    </xf>
    <xf numFmtId="0" fontId="3" fillId="0" borderId="20" xfId="0" applyFont="1" applyBorder="1"/>
    <xf numFmtId="0" fontId="3" fillId="0" borderId="22" xfId="0" applyFont="1" applyBorder="1"/>
    <xf numFmtId="0" fontId="13" fillId="9" borderId="17" xfId="0" applyFont="1" applyFill="1" applyBorder="1" applyAlignment="1">
      <alignment horizontal="center" vertical="center" wrapText="1"/>
    </xf>
    <xf numFmtId="0" fontId="14" fillId="9" borderId="16" xfId="0" applyFont="1" applyFill="1" applyBorder="1" applyAlignment="1">
      <alignment horizontal="center" vertical="center" wrapText="1"/>
    </xf>
    <xf numFmtId="0" fontId="2" fillId="6" borderId="27" xfId="0" applyFont="1" applyFill="1" applyBorder="1" applyAlignment="1">
      <alignment horizontal="left" vertical="center" wrapText="1"/>
    </xf>
    <xf numFmtId="0" fontId="3" fillId="0" borderId="31" xfId="0" applyFont="1" applyBorder="1"/>
    <xf numFmtId="0" fontId="1" fillId="0" borderId="0" xfId="0" applyFont="1" applyFill="1" applyBorder="1" applyAlignment="1">
      <alignment horizontal="right" vertical="center"/>
    </xf>
  </cellXfs>
  <cellStyles count="1">
    <cellStyle name="Normal" xfId="0" builtinId="0"/>
  </cellStyles>
  <dxfs count="6">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1000"/>
  <sheetViews>
    <sheetView tabSelected="1"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7">
        <v>1</v>
      </c>
    </row>
    <row r="3" spans="1:11">
      <c r="B3" s="2" t="s">
        <v>0</v>
      </c>
      <c r="C3" s="3" t="s">
        <v>1</v>
      </c>
      <c r="D3" s="1" t="s">
        <v>2</v>
      </c>
      <c r="E3" s="54"/>
    </row>
    <row r="4" spans="1:11">
      <c r="A4" s="4">
        <v>1</v>
      </c>
      <c r="B4" s="9" t="s">
        <v>3</v>
      </c>
      <c r="C4" s="6">
        <f>'G5'!$C$24</f>
        <v>6.4</v>
      </c>
      <c r="D4" s="6">
        <f>$C$35</f>
        <v>6</v>
      </c>
      <c r="E4" s="7">
        <f t="shared" ref="E4:E7" si="0">C4*C$2+D4*D$2</f>
        <v>6.3000000000000007</v>
      </c>
      <c r="G4" s="8"/>
    </row>
    <row r="5" spans="1:11">
      <c r="A5" s="4">
        <v>2</v>
      </c>
      <c r="B5" s="9" t="s">
        <v>4</v>
      </c>
      <c r="C5" s="6">
        <f>'G5'!$C$24</f>
        <v>6.4</v>
      </c>
      <c r="D5" s="6">
        <f>C47</f>
        <v>5.3</v>
      </c>
      <c r="E5" s="7">
        <f t="shared" si="0"/>
        <v>6.1250000000000009</v>
      </c>
      <c r="G5" s="8"/>
    </row>
    <row r="6" spans="1:11">
      <c r="A6" s="4">
        <v>3</v>
      </c>
      <c r="B6" s="9" t="s">
        <v>5</v>
      </c>
      <c r="C6" s="6">
        <f>'G5'!$C$24</f>
        <v>6.4</v>
      </c>
      <c r="D6" s="6">
        <f>C58</f>
        <v>6</v>
      </c>
      <c r="E6" s="7">
        <f t="shared" si="0"/>
        <v>6.3000000000000007</v>
      </c>
      <c r="G6" s="8"/>
    </row>
    <row r="7" spans="1:11">
      <c r="A7" s="78">
        <v>4</v>
      </c>
      <c r="B7" s="9" t="s">
        <v>7</v>
      </c>
      <c r="C7" s="6">
        <f>'G5'!$C$24</f>
        <v>6.4</v>
      </c>
      <c r="D7" s="6">
        <f>C69</f>
        <v>6</v>
      </c>
      <c r="E7" s="7">
        <f t="shared" si="0"/>
        <v>6.3000000000000007</v>
      </c>
    </row>
    <row r="11" spans="1:11" ht="18.75" outlineLevel="1">
      <c r="A11" s="52" t="s">
        <v>6</v>
      </c>
      <c r="B11" s="10"/>
      <c r="C11" s="58" t="s">
        <v>8</v>
      </c>
      <c r="D11" s="59" t="s">
        <v>9</v>
      </c>
      <c r="E11" s="60"/>
      <c r="F11" s="60"/>
      <c r="G11" s="60"/>
      <c r="H11" s="60"/>
      <c r="I11" s="60"/>
      <c r="J11" s="60"/>
      <c r="K11" s="61"/>
    </row>
    <row r="12" spans="1:11" outlineLevel="1">
      <c r="A12" s="53"/>
      <c r="B12" s="11" t="s">
        <v>10</v>
      </c>
      <c r="C12" s="54"/>
      <c r="D12" s="59" t="s">
        <v>11</v>
      </c>
      <c r="E12" s="61"/>
      <c r="F12" s="59" t="s">
        <v>12</v>
      </c>
      <c r="G12" s="61"/>
      <c r="H12" s="59" t="s">
        <v>13</v>
      </c>
      <c r="I12" s="61"/>
      <c r="J12" s="59" t="s">
        <v>14</v>
      </c>
      <c r="K12" s="61"/>
    </row>
    <row r="13" spans="1:11" ht="24" outlineLevel="1">
      <c r="A13" s="53"/>
      <c r="B13" s="12" t="str">
        <f>RUBRICA!A5</f>
        <v>1. Describe brevemente en qué consiste el Proyecto APT, justificando su relevancia para el campo laboral de su carrera.</v>
      </c>
      <c r="C13" s="26" t="s">
        <v>11</v>
      </c>
      <c r="D13" s="14" t="str">
        <f t="shared" ref="D13:D22" si="1">IF($C13=CL,"X","")</f>
        <v>X</v>
      </c>
      <c r="E13" s="14">
        <f>IF(D13="X",100*0.1,"")</f>
        <v>10</v>
      </c>
      <c r="F13" s="14" t="str">
        <f t="shared" ref="F13:F22" si="2">IF($C13=L,"X","")</f>
        <v/>
      </c>
      <c r="G13" s="14" t="str">
        <f>IF(F13="X",60*0.1,"")</f>
        <v/>
      </c>
      <c r="H13" s="14" t="str">
        <f t="shared" ref="H13:H22" si="3">IF($C13=ML,"X","")</f>
        <v/>
      </c>
      <c r="I13" s="14" t="str">
        <f>IF(H13="X",30*0.1,"")</f>
        <v/>
      </c>
      <c r="J13" s="14" t="str">
        <f t="shared" ref="J13:J22" si="4">IF($C13=NL,"X","")</f>
        <v/>
      </c>
      <c r="K13" s="14" t="str">
        <f t="shared" ref="K13:K22" si="5">IF($J13="X",0,"")</f>
        <v/>
      </c>
    </row>
    <row r="14" spans="1:11" ht="26.25" customHeight="1" outlineLevel="1">
      <c r="A14" s="53"/>
      <c r="B14" s="12" t="str">
        <f>RUBRICA!A6</f>
        <v>2. Relaciona el Proyecto APT con las competencias del perfil de egreso de su Plan de Estudio.</v>
      </c>
      <c r="C14" s="26" t="s">
        <v>11</v>
      </c>
      <c r="D14" s="14" t="str">
        <f t="shared" si="1"/>
        <v>X</v>
      </c>
      <c r="E14" s="14">
        <f t="shared" ref="E14:E16" si="6">IF(D14="X",100*0.05,"")</f>
        <v>5</v>
      </c>
      <c r="F14" s="14" t="str">
        <f t="shared" si="2"/>
        <v/>
      </c>
      <c r="G14" s="14" t="str">
        <f t="shared" ref="G14:G16" si="7">IF(F14="X",60*0.05,"")</f>
        <v/>
      </c>
      <c r="H14" s="14" t="str">
        <f t="shared" si="3"/>
        <v/>
      </c>
      <c r="I14" s="14" t="str">
        <f t="shared" ref="I14:I16" si="8">IF(H14="X",30*0.05,"")</f>
        <v/>
      </c>
      <c r="J14" s="14" t="str">
        <f t="shared" si="4"/>
        <v/>
      </c>
      <c r="K14" s="14" t="str">
        <f t="shared" si="5"/>
        <v/>
      </c>
    </row>
    <row r="15" spans="1:11" ht="24" outlineLevel="1">
      <c r="A15" s="53"/>
      <c r="B15" s="12" t="str">
        <f>RUBRICA!A8</f>
        <v xml:space="preserve">4.  Argumenta por qué el proyecto es factible de realizarse en el marco de la asignatura. </v>
      </c>
      <c r="C15" s="26" t="s">
        <v>12</v>
      </c>
      <c r="D15" s="14" t="str">
        <f t="shared" si="1"/>
        <v/>
      </c>
      <c r="E15" s="14" t="str">
        <f t="shared" si="6"/>
        <v/>
      </c>
      <c r="F15" s="14" t="str">
        <f t="shared" si="2"/>
        <v>X</v>
      </c>
      <c r="G15" s="14">
        <f t="shared" si="7"/>
        <v>3</v>
      </c>
      <c r="H15" s="14" t="str">
        <f t="shared" si="3"/>
        <v/>
      </c>
      <c r="I15" s="14" t="str">
        <f t="shared" si="8"/>
        <v/>
      </c>
      <c r="J15" s="14" t="str">
        <f t="shared" si="4"/>
        <v/>
      </c>
      <c r="K15" s="14" t="str">
        <f t="shared" si="5"/>
        <v/>
      </c>
    </row>
    <row r="16" spans="1:11" ht="24" outlineLevel="1">
      <c r="A16" s="53"/>
      <c r="B16" s="12" t="str">
        <f>RUBRICA!A9</f>
        <v xml:space="preserve">5. Formula objetivos claros, concisos y coherentes con la disciplina y la situación a abordar. </v>
      </c>
      <c r="C16" s="26" t="s">
        <v>12</v>
      </c>
      <c r="D16" s="14" t="str">
        <f t="shared" si="1"/>
        <v/>
      </c>
      <c r="E16" s="14" t="str">
        <f t="shared" si="6"/>
        <v/>
      </c>
      <c r="F16" s="14" t="str">
        <f t="shared" si="2"/>
        <v>X</v>
      </c>
      <c r="G16" s="14">
        <f t="shared" si="7"/>
        <v>3</v>
      </c>
      <c r="H16" s="14" t="str">
        <f t="shared" si="3"/>
        <v/>
      </c>
      <c r="I16" s="14" t="str">
        <f t="shared" si="8"/>
        <v/>
      </c>
      <c r="J16" s="14" t="str">
        <f t="shared" si="4"/>
        <v/>
      </c>
      <c r="K16" s="14" t="str">
        <f t="shared" si="5"/>
        <v/>
      </c>
    </row>
    <row r="17" spans="1:11" ht="24" outlineLevel="1">
      <c r="A17" s="53"/>
      <c r="B17" s="12" t="str">
        <f>RUBRICA!A10</f>
        <v>6. Propone una metodología de trabajo que permite alcanzar los objetivos propuestos y es pertinente con los requerimientos disciplinares.</v>
      </c>
      <c r="C17" s="26" t="s">
        <v>11</v>
      </c>
      <c r="D17" s="14" t="str">
        <f t="shared" si="1"/>
        <v>X</v>
      </c>
      <c r="E17" s="14">
        <f t="shared" ref="E17:E18" si="9">IF(D17="X",100*0.1,"")</f>
        <v>10</v>
      </c>
      <c r="F17" s="14" t="str">
        <f t="shared" si="2"/>
        <v/>
      </c>
      <c r="G17" s="14" t="str">
        <f t="shared" ref="G17:G18" si="10">IF(F17="X",60*0.1,"")</f>
        <v/>
      </c>
      <c r="H17" s="14" t="str">
        <f t="shared" si="3"/>
        <v/>
      </c>
      <c r="I17" s="14" t="str">
        <f t="shared" ref="I17:I18" si="11">IF(H17="X",30*0.1,"")</f>
        <v/>
      </c>
      <c r="J17" s="14" t="str">
        <f t="shared" si="4"/>
        <v/>
      </c>
      <c r="K17" s="14" t="str">
        <f t="shared" si="5"/>
        <v/>
      </c>
    </row>
    <row r="18" spans="1:11" ht="24" outlineLevel="1">
      <c r="A18" s="53"/>
      <c r="B18" s="12" t="str">
        <f>RUBRICA!A11</f>
        <v xml:space="preserve">7. Establece un plan de trabajo para su proyecto APT considerando los recursos, duración, facilitadores y obstaculizadores en el desarrollo de las actividades. </v>
      </c>
      <c r="C18" s="26" t="s">
        <v>11</v>
      </c>
      <c r="D18" s="14" t="str">
        <f t="shared" si="1"/>
        <v>X</v>
      </c>
      <c r="E18" s="14">
        <f t="shared" si="9"/>
        <v>10</v>
      </c>
      <c r="F18" s="14" t="str">
        <f t="shared" si="2"/>
        <v/>
      </c>
      <c r="G18" s="14" t="str">
        <f t="shared" si="10"/>
        <v/>
      </c>
      <c r="H18" s="14" t="str">
        <f t="shared" si="3"/>
        <v/>
      </c>
      <c r="I18" s="14" t="str">
        <f t="shared" si="11"/>
        <v/>
      </c>
      <c r="J18" s="14" t="str">
        <f t="shared" si="4"/>
        <v/>
      </c>
      <c r="K18" s="14" t="str">
        <f t="shared" si="5"/>
        <v/>
      </c>
    </row>
    <row r="19" spans="1:11" ht="24" outlineLevel="1">
      <c r="A19" s="53"/>
      <c r="B19" s="12" t="str">
        <f>RUBRICA!A12</f>
        <v>8. Determina evidencias, justificando cómo estas dan cuenta del logro de las actividades del Proyecto APT.</v>
      </c>
      <c r="C19" s="26" t="s">
        <v>12</v>
      </c>
      <c r="D19" s="14" t="str">
        <f t="shared" si="1"/>
        <v/>
      </c>
      <c r="E19" s="14" t="str">
        <f t="shared" ref="E19:E21" si="12">IF(D19="X",100*0.05,"")</f>
        <v/>
      </c>
      <c r="F19" s="14" t="str">
        <f t="shared" si="2"/>
        <v>X</v>
      </c>
      <c r="G19" s="14">
        <f t="shared" ref="G19:G21" si="13">IF(F19="X",60*0.05,"")</f>
        <v>3</v>
      </c>
      <c r="H19" s="14" t="str">
        <f t="shared" si="3"/>
        <v/>
      </c>
      <c r="I19" s="14" t="str">
        <f t="shared" ref="I19:I21" si="14">IF(H19="X",30*0.05,"")</f>
        <v/>
      </c>
      <c r="J19" s="14" t="str">
        <f t="shared" si="4"/>
        <v/>
      </c>
      <c r="K19" s="14" t="str">
        <f t="shared" si="5"/>
        <v/>
      </c>
    </row>
    <row r="20" spans="1:11" ht="24" outlineLevel="1">
      <c r="A20" s="53"/>
      <c r="B20" s="12" t="str">
        <f>RUBRICA!A13</f>
        <v xml:space="preserve">9. Utiliza reglas de redacción, ortografía (literal, puntual, acentual) y las normas para citas y referencias. </v>
      </c>
      <c r="C20" s="26" t="s">
        <v>11</v>
      </c>
      <c r="D20" s="14" t="str">
        <f t="shared" si="1"/>
        <v>X</v>
      </c>
      <c r="E20" s="14">
        <f t="shared" si="12"/>
        <v>5</v>
      </c>
      <c r="F20" s="14" t="str">
        <f t="shared" si="2"/>
        <v/>
      </c>
      <c r="G20" s="14" t="str">
        <f t="shared" si="13"/>
        <v/>
      </c>
      <c r="H20" s="14" t="str">
        <f t="shared" si="3"/>
        <v/>
      </c>
      <c r="I20" s="14" t="str">
        <f t="shared" si="14"/>
        <v/>
      </c>
      <c r="J20" s="14" t="str">
        <f t="shared" si="4"/>
        <v/>
      </c>
      <c r="K20" s="14" t="str">
        <f t="shared" si="5"/>
        <v/>
      </c>
    </row>
    <row r="21" spans="1:11" ht="22.5" customHeight="1" outlineLevel="1">
      <c r="A21" s="53"/>
      <c r="B21" s="12" t="str">
        <f>RUBRICA!A14</f>
        <v>10. Cumple completando el contenido del informe de presentación del proyecto de acuerdo con la plantilla entregada.</v>
      </c>
      <c r="C21" s="26" t="s">
        <v>11</v>
      </c>
      <c r="D21" s="14" t="str">
        <f t="shared" si="1"/>
        <v>X</v>
      </c>
      <c r="E21" s="14">
        <f t="shared" si="12"/>
        <v>5</v>
      </c>
      <c r="F21" s="14" t="str">
        <f t="shared" si="2"/>
        <v/>
      </c>
      <c r="G21" s="14" t="str">
        <f t="shared" si="13"/>
        <v/>
      </c>
      <c r="H21" s="14" t="str">
        <f t="shared" si="3"/>
        <v/>
      </c>
      <c r="I21" s="14" t="str">
        <f t="shared" si="14"/>
        <v/>
      </c>
      <c r="J21" s="14" t="str">
        <f t="shared" si="4"/>
        <v/>
      </c>
      <c r="K21" s="14" t="str">
        <f t="shared" si="5"/>
        <v/>
      </c>
    </row>
    <row r="22" spans="1:11" ht="36" outlineLevel="1">
      <c r="A22" s="53"/>
      <c r="B22" s="12" t="str">
        <f>RUBRICA!A16</f>
        <v>12. Desarrolla un plan de trabajo que permita del logro de los objetivos propuestos del proyecto de 
acuerdo a los tiempos para su desarrollo</v>
      </c>
      <c r="C22" s="26" t="s">
        <v>11</v>
      </c>
      <c r="D22" s="14" t="str">
        <f t="shared" si="1"/>
        <v>X</v>
      </c>
      <c r="E22" s="14">
        <f>IF(D22="X",100*0.1,"")</f>
        <v>10</v>
      </c>
      <c r="F22" s="14" t="str">
        <f t="shared" si="2"/>
        <v/>
      </c>
      <c r="G22" s="14" t="str">
        <f>IF(F22="X",60*0.1,"")</f>
        <v/>
      </c>
      <c r="H22" s="14" t="str">
        <f t="shared" si="3"/>
        <v/>
      </c>
      <c r="I22" s="14" t="str">
        <f>IF(H22="X",30*0.1,"")</f>
        <v/>
      </c>
      <c r="J22" s="14" t="str">
        <f t="shared" si="4"/>
        <v/>
      </c>
      <c r="K22" s="14" t="str">
        <f t="shared" si="5"/>
        <v/>
      </c>
    </row>
    <row r="23" spans="1:11" ht="15.75" customHeight="1" outlineLevel="1">
      <c r="A23" s="53"/>
      <c r="B23" s="15" t="s">
        <v>15</v>
      </c>
      <c r="C23" s="16">
        <f>E23+G23+I23+K23</f>
        <v>64</v>
      </c>
      <c r="D23" s="17"/>
      <c r="E23" s="17">
        <f>SUM(E13:E22)</f>
        <v>55</v>
      </c>
      <c r="F23" s="17"/>
      <c r="G23" s="17">
        <f>SUM(G13:G22)</f>
        <v>9</v>
      </c>
      <c r="H23" s="17"/>
      <c r="I23" s="17">
        <f>SUM(I13:I22)</f>
        <v>0</v>
      </c>
      <c r="J23" s="17"/>
      <c r="K23" s="17">
        <f>SUM(K13:K22)</f>
        <v>0</v>
      </c>
    </row>
    <row r="24" spans="1:11" ht="15.75" customHeight="1" outlineLevel="1">
      <c r="A24" s="54"/>
      <c r="B24" s="18" t="s">
        <v>16</v>
      </c>
      <c r="C24" s="19">
        <f>VLOOKUP(C23,ESCALA_IEP!A2:B142,2,FALSE)</f>
        <v>6.4</v>
      </c>
    </row>
    <row r="25" spans="1:11" ht="15.75" customHeight="1"/>
    <row r="26" spans="1:11" ht="15.75" customHeight="1"/>
    <row r="27" spans="1:11" ht="15.75" customHeight="1">
      <c r="A27" s="55" t="s">
        <v>17</v>
      </c>
      <c r="B27" s="56" t="s">
        <v>18</v>
      </c>
      <c r="C27" s="62" t="str">
        <f>$B$4</f>
        <v>BARRAZA LEIVA JUAN CARLOS</v>
      </c>
      <c r="D27" s="63"/>
      <c r="E27" s="63"/>
      <c r="F27" s="63"/>
      <c r="G27" s="63"/>
      <c r="H27" s="63"/>
      <c r="I27" s="63"/>
      <c r="J27" s="63"/>
      <c r="K27" s="64"/>
    </row>
    <row r="28" spans="1:11" ht="15.75" customHeight="1">
      <c r="A28" s="53"/>
      <c r="B28" s="54"/>
      <c r="C28" s="65"/>
      <c r="D28" s="66"/>
      <c r="E28" s="66"/>
      <c r="F28" s="66"/>
      <c r="G28" s="66"/>
      <c r="H28" s="66"/>
      <c r="I28" s="66"/>
      <c r="J28" s="66"/>
      <c r="K28" s="67"/>
    </row>
    <row r="29" spans="1:11" ht="15.75" customHeight="1">
      <c r="A29" s="53"/>
      <c r="B29" s="10" t="s">
        <v>19</v>
      </c>
      <c r="C29" s="58" t="s">
        <v>8</v>
      </c>
      <c r="D29" s="59" t="s">
        <v>9</v>
      </c>
      <c r="E29" s="60"/>
      <c r="F29" s="60"/>
      <c r="G29" s="60"/>
      <c r="H29" s="60"/>
      <c r="I29" s="60"/>
      <c r="J29" s="60"/>
      <c r="K29" s="61"/>
    </row>
    <row r="30" spans="1:11" ht="15.75" customHeight="1">
      <c r="A30" s="53"/>
      <c r="B30" s="20" t="s">
        <v>10</v>
      </c>
      <c r="C30" s="54"/>
      <c r="D30" s="59" t="s">
        <v>11</v>
      </c>
      <c r="E30" s="61"/>
      <c r="F30" s="59" t="s">
        <v>12</v>
      </c>
      <c r="G30" s="61"/>
      <c r="H30" s="59" t="s">
        <v>20</v>
      </c>
      <c r="I30" s="61"/>
      <c r="J30" s="59" t="s">
        <v>14</v>
      </c>
      <c r="K30" s="61"/>
    </row>
    <row r="31" spans="1:11" ht="24" customHeight="1">
      <c r="A31" s="53"/>
      <c r="B31" s="12" t="str">
        <f>RUBRICA!A7</f>
        <v>3. Relaciona el Proyecto APT con sus intereses profesionales. *</v>
      </c>
      <c r="C31" s="26" t="s">
        <v>11</v>
      </c>
      <c r="D31" s="14" t="str">
        <f>IF($C31=CL,"X","")</f>
        <v>X</v>
      </c>
      <c r="E31" s="14">
        <f t="shared" ref="E31:E33" si="15">IF(D31="X",100*0.1,"")</f>
        <v>10</v>
      </c>
      <c r="F31" s="14" t="str">
        <f>IF($C31=L,"X","")</f>
        <v/>
      </c>
      <c r="G31" s="14" t="str">
        <f t="shared" ref="G31:G33" si="16">IF(F31="X",60*0.1,"")</f>
        <v/>
      </c>
      <c r="H31" s="14" t="str">
        <f>IF($C31=ML,"X","")</f>
        <v/>
      </c>
      <c r="I31" s="14" t="str">
        <f t="shared" ref="I31:I33" si="17">IF(H31="X",30*0.1,"")</f>
        <v/>
      </c>
      <c r="J31" s="14" t="str">
        <f>IF($C31=NL,"X","")</f>
        <v/>
      </c>
      <c r="K31" s="14" t="str">
        <f t="shared" ref="K31:K33" si="18">IF($J31="X",0,"")</f>
        <v/>
      </c>
    </row>
    <row r="32" spans="1:11" ht="25.5" customHeight="1">
      <c r="A32" s="53"/>
      <c r="B32" s="12" t="str">
        <f>RUBRICA!A15</f>
        <v>11. Expone el tema utilizando un lenguaje técnico disciplinar al presentar la propuesta y responde evidenciando un manejo de la información. *</v>
      </c>
      <c r="C32" s="26" t="s">
        <v>12</v>
      </c>
      <c r="D32" s="14" t="str">
        <f>IF($C32=CL,"X","")</f>
        <v/>
      </c>
      <c r="E32" s="14" t="str">
        <f t="shared" si="15"/>
        <v/>
      </c>
      <c r="F32" s="14" t="str">
        <f>IF($C32=L,"X","")</f>
        <v>X</v>
      </c>
      <c r="G32" s="14">
        <f t="shared" si="16"/>
        <v>6</v>
      </c>
      <c r="H32" s="14" t="str">
        <f>IF($C32=ML,"X","")</f>
        <v/>
      </c>
      <c r="I32" s="14" t="str">
        <f t="shared" si="17"/>
        <v/>
      </c>
      <c r="J32" s="14" t="str">
        <f>IF($C32=NL,"X","")</f>
        <v/>
      </c>
      <c r="K32" s="14" t="str">
        <f t="shared" si="18"/>
        <v/>
      </c>
    </row>
    <row r="33" spans="1:11" ht="15.75" customHeight="1">
      <c r="A33" s="53"/>
      <c r="B33" s="12" t="str">
        <f>RUBRICA!A17</f>
        <v>13. Colaboración y trabajo en equipo *</v>
      </c>
      <c r="C33" s="26" t="s">
        <v>11</v>
      </c>
      <c r="D33" s="14" t="str">
        <f>IF($C33=CL,"X","")</f>
        <v>X</v>
      </c>
      <c r="E33" s="14">
        <f t="shared" si="15"/>
        <v>10</v>
      </c>
      <c r="F33" s="14" t="str">
        <f>IF($C33=L,"X","")</f>
        <v/>
      </c>
      <c r="G33" s="14" t="str">
        <f t="shared" si="16"/>
        <v/>
      </c>
      <c r="H33" s="14" t="str">
        <f>IF($C33=ML,"X","")</f>
        <v/>
      </c>
      <c r="I33" s="14" t="str">
        <f t="shared" si="17"/>
        <v/>
      </c>
      <c r="J33" s="14" t="str">
        <f>IF($C33=NL,"X","")</f>
        <v/>
      </c>
      <c r="K33" s="14" t="str">
        <f t="shared" si="18"/>
        <v/>
      </c>
    </row>
    <row r="34" spans="1:11" ht="15.75" customHeight="1">
      <c r="A34" s="53"/>
      <c r="B34" s="21" t="s">
        <v>21</v>
      </c>
      <c r="C34" s="22">
        <f>E34+G34+I34+K34</f>
        <v>26</v>
      </c>
      <c r="D34" s="17"/>
      <c r="E34" s="17">
        <f>SUM(E31:E33)</f>
        <v>20</v>
      </c>
      <c r="F34" s="17"/>
      <c r="G34" s="17">
        <f>SUM(G31:G33)</f>
        <v>6</v>
      </c>
      <c r="H34" s="17"/>
      <c r="I34" s="17">
        <f>SUM(I31:I33)</f>
        <v>0</v>
      </c>
      <c r="J34" s="17"/>
      <c r="K34" s="17">
        <f>SUM(K31:K33)</f>
        <v>0</v>
      </c>
    </row>
    <row r="35" spans="1:11" ht="15.75" customHeight="1">
      <c r="A35" s="54"/>
      <c r="B35" s="23" t="s">
        <v>16</v>
      </c>
      <c r="C35" s="19">
        <f>VLOOKUP(C34,ESCALA_TRAB_EQUIP!A2:B62,2,FALSE)</f>
        <v>6</v>
      </c>
    </row>
    <row r="36" spans="1:11" ht="15.75" customHeight="1">
      <c r="B36" s="24"/>
      <c r="C36" s="25"/>
    </row>
    <row r="37" spans="1:11" ht="15.75" customHeight="1">
      <c r="B37" s="24"/>
      <c r="C37" s="25"/>
    </row>
    <row r="38" spans="1:11" ht="15.75" customHeight="1"/>
    <row r="39" spans="1:11" ht="15.75" customHeight="1">
      <c r="A39" s="55" t="s">
        <v>17</v>
      </c>
      <c r="B39" s="56" t="s">
        <v>18</v>
      </c>
      <c r="C39" s="62" t="str">
        <f>B5</f>
        <v>CALFUCURA AVENDANO PABLO NICOLAS</v>
      </c>
      <c r="D39" s="63"/>
      <c r="E39" s="63"/>
      <c r="F39" s="63"/>
      <c r="G39" s="63"/>
      <c r="H39" s="63"/>
      <c r="I39" s="63"/>
      <c r="J39" s="63"/>
      <c r="K39" s="64"/>
    </row>
    <row r="40" spans="1:11" ht="15.75" customHeight="1">
      <c r="A40" s="53"/>
      <c r="B40" s="54"/>
      <c r="C40" s="65"/>
      <c r="D40" s="66"/>
      <c r="E40" s="66"/>
      <c r="F40" s="66"/>
      <c r="G40" s="66"/>
      <c r="H40" s="66"/>
      <c r="I40" s="66"/>
      <c r="J40" s="66"/>
      <c r="K40" s="67"/>
    </row>
    <row r="41" spans="1:11" ht="15.75" customHeight="1">
      <c r="A41" s="53"/>
      <c r="B41" s="10" t="s">
        <v>19</v>
      </c>
      <c r="C41" s="58" t="s">
        <v>8</v>
      </c>
      <c r="D41" s="59" t="s">
        <v>9</v>
      </c>
      <c r="E41" s="60"/>
      <c r="F41" s="60"/>
      <c r="G41" s="60"/>
      <c r="H41" s="60"/>
      <c r="I41" s="60"/>
      <c r="J41" s="60"/>
      <c r="K41" s="61"/>
    </row>
    <row r="42" spans="1:11" ht="15.75" customHeight="1">
      <c r="A42" s="53"/>
      <c r="B42" s="20" t="s">
        <v>10</v>
      </c>
      <c r="C42" s="54"/>
      <c r="D42" s="59" t="s">
        <v>11</v>
      </c>
      <c r="E42" s="61"/>
      <c r="F42" s="59" t="s">
        <v>12</v>
      </c>
      <c r="G42" s="61"/>
      <c r="H42" s="59" t="s">
        <v>20</v>
      </c>
      <c r="I42" s="61"/>
      <c r="J42" s="59" t="s">
        <v>14</v>
      </c>
      <c r="K42" s="61"/>
    </row>
    <row r="43" spans="1:11" ht="25.5" customHeight="1">
      <c r="A43" s="53"/>
      <c r="B43" s="12" t="str">
        <f>RUBRICA!A7</f>
        <v>3. Relaciona el Proyecto APT con sus intereses profesionales. *</v>
      </c>
      <c r="C43" s="26" t="s">
        <v>11</v>
      </c>
      <c r="D43" s="14" t="str">
        <f>IF($C43=CL,"X","")</f>
        <v>X</v>
      </c>
      <c r="E43" s="14">
        <f t="shared" ref="E43:E45" si="19">IF(D43="X",100*0.1,"")</f>
        <v>10</v>
      </c>
      <c r="F43" s="14" t="str">
        <f>IF($C43=L,"X","")</f>
        <v/>
      </c>
      <c r="G43" s="14" t="str">
        <f t="shared" ref="G43:G45" si="20">IF(F43="X",60*0.1,"")</f>
        <v/>
      </c>
      <c r="H43" s="14" t="str">
        <f>IF($C43=ML,"X","")</f>
        <v/>
      </c>
      <c r="I43" s="14" t="str">
        <f t="shared" ref="I43:I45" si="21">IF(H43="X",30*0.1,"")</f>
        <v/>
      </c>
      <c r="J43" s="14" t="str">
        <f>IF($C43=NL,"X","")</f>
        <v/>
      </c>
      <c r="K43" s="14" t="str">
        <f t="shared" ref="K43:K45" si="22">IF($J43="X",0,"")</f>
        <v/>
      </c>
    </row>
    <row r="44" spans="1:11" ht="24">
      <c r="A44" s="53"/>
      <c r="B44" s="12" t="str">
        <f>RUBRICA!A15</f>
        <v>11. Expone el tema utilizando un lenguaje técnico disciplinar al presentar la propuesta y responde evidenciando un manejo de la información. *</v>
      </c>
      <c r="C44" s="26" t="s">
        <v>22</v>
      </c>
      <c r="D44" s="14" t="str">
        <f>IF($C44=CL,"X","")</f>
        <v/>
      </c>
      <c r="E44" s="14" t="str">
        <f t="shared" si="19"/>
        <v/>
      </c>
      <c r="F44" s="14" t="str">
        <f>IF($C44=L,"X","")</f>
        <v/>
      </c>
      <c r="G44" s="14" t="str">
        <f t="shared" si="20"/>
        <v/>
      </c>
      <c r="H44" s="14" t="str">
        <f>IF($C44=ML,"X","")</f>
        <v>X</v>
      </c>
      <c r="I44" s="14">
        <f t="shared" si="21"/>
        <v>3</v>
      </c>
      <c r="J44" s="14" t="str">
        <f>IF($C44=NL,"X","")</f>
        <v/>
      </c>
      <c r="K44" s="14" t="str">
        <f t="shared" si="22"/>
        <v/>
      </c>
    </row>
    <row r="45" spans="1:11" ht="15.75" customHeight="1">
      <c r="A45" s="53"/>
      <c r="B45" s="12" t="str">
        <f>RUBRICA!A17</f>
        <v>13. Colaboración y trabajo en equipo *</v>
      </c>
      <c r="C45" s="26" t="s">
        <v>11</v>
      </c>
      <c r="D45" s="14" t="str">
        <f>IF($C45=CL,"X","")</f>
        <v>X</v>
      </c>
      <c r="E45" s="14">
        <f t="shared" si="19"/>
        <v>10</v>
      </c>
      <c r="F45" s="14" t="str">
        <f>IF($C45=L,"X","")</f>
        <v/>
      </c>
      <c r="G45" s="14" t="str">
        <f t="shared" si="20"/>
        <v/>
      </c>
      <c r="H45" s="14" t="str">
        <f>IF($C45=ML,"X","")</f>
        <v/>
      </c>
      <c r="I45" s="14" t="str">
        <f t="shared" si="21"/>
        <v/>
      </c>
      <c r="J45" s="14" t="str">
        <f>IF($C45=NL,"X","")</f>
        <v/>
      </c>
      <c r="K45" s="14" t="str">
        <f t="shared" si="22"/>
        <v/>
      </c>
    </row>
    <row r="46" spans="1:11" ht="15.75" customHeight="1">
      <c r="A46" s="53"/>
      <c r="B46" s="21" t="s">
        <v>21</v>
      </c>
      <c r="C46" s="22">
        <f>E46+G46+I46+K46</f>
        <v>23</v>
      </c>
      <c r="D46" s="17"/>
      <c r="E46" s="17">
        <f>SUM(E43:E45)</f>
        <v>20</v>
      </c>
      <c r="F46" s="17"/>
      <c r="G46" s="17">
        <f>SUM(G43:G45)</f>
        <v>0</v>
      </c>
      <c r="H46" s="17"/>
      <c r="I46" s="17">
        <f>SUM(I43:I45)</f>
        <v>3</v>
      </c>
      <c r="J46" s="17"/>
      <c r="K46" s="17">
        <f>SUM(K43:K45)</f>
        <v>0</v>
      </c>
    </row>
    <row r="47" spans="1:11" ht="15.75" customHeight="1">
      <c r="A47" s="54"/>
      <c r="B47" s="23" t="s">
        <v>16</v>
      </c>
      <c r="C47" s="19">
        <f>VLOOKUP(C46,ESCALA_TRAB_EQUIP!A2:B62,2,FALSE)</f>
        <v>5.3</v>
      </c>
    </row>
    <row r="48" spans="1:11" ht="15.75" customHeight="1">
      <c r="B48" s="24"/>
      <c r="C48" s="25"/>
    </row>
    <row r="49" spans="1:11" ht="15.75" customHeight="1">
      <c r="B49" s="24"/>
      <c r="C49" s="25"/>
    </row>
    <row r="50" spans="1:11" ht="15.75" customHeight="1">
      <c r="A50" s="55" t="s">
        <v>17</v>
      </c>
      <c r="B50" s="56" t="s">
        <v>18</v>
      </c>
      <c r="C50" s="62" t="str">
        <f>B6</f>
        <v>ORELLANA BARRIOS AMARU DANTE ALFONSO</v>
      </c>
      <c r="D50" s="63"/>
      <c r="E50" s="63"/>
      <c r="F50" s="63"/>
      <c r="G50" s="63"/>
      <c r="H50" s="63"/>
      <c r="I50" s="63"/>
      <c r="J50" s="63"/>
      <c r="K50" s="64"/>
    </row>
    <row r="51" spans="1:11" ht="15.75" customHeight="1">
      <c r="A51" s="53"/>
      <c r="B51" s="54"/>
      <c r="C51" s="65"/>
      <c r="D51" s="66"/>
      <c r="E51" s="66"/>
      <c r="F51" s="66"/>
      <c r="G51" s="66"/>
      <c r="H51" s="66"/>
      <c r="I51" s="66"/>
      <c r="J51" s="66"/>
      <c r="K51" s="67"/>
    </row>
    <row r="52" spans="1:11" ht="15.75" customHeight="1">
      <c r="A52" s="53"/>
      <c r="B52" s="10" t="s">
        <v>19</v>
      </c>
      <c r="C52" s="58" t="s">
        <v>8</v>
      </c>
      <c r="D52" s="59" t="s">
        <v>9</v>
      </c>
      <c r="E52" s="60"/>
      <c r="F52" s="60"/>
      <c r="G52" s="60"/>
      <c r="H52" s="60"/>
      <c r="I52" s="60"/>
      <c r="J52" s="60"/>
      <c r="K52" s="61"/>
    </row>
    <row r="53" spans="1:11" ht="15.75" customHeight="1">
      <c r="A53" s="53"/>
      <c r="B53" s="20" t="s">
        <v>10</v>
      </c>
      <c r="C53" s="54"/>
      <c r="D53" s="59" t="s">
        <v>11</v>
      </c>
      <c r="E53" s="61"/>
      <c r="F53" s="59" t="s">
        <v>12</v>
      </c>
      <c r="G53" s="61"/>
      <c r="H53" s="59" t="s">
        <v>20</v>
      </c>
      <c r="I53" s="61"/>
      <c r="J53" s="59" t="s">
        <v>14</v>
      </c>
      <c r="K53" s="61"/>
    </row>
    <row r="54" spans="1:11" ht="25.5" customHeight="1">
      <c r="A54" s="53"/>
      <c r="B54" s="12" t="str">
        <f>RUBRICA!A7</f>
        <v>3. Relaciona el Proyecto APT con sus intereses profesionales. *</v>
      </c>
      <c r="C54" s="26" t="s">
        <v>11</v>
      </c>
      <c r="D54" s="14" t="str">
        <f>IF($C54=CL,"X","")</f>
        <v>X</v>
      </c>
      <c r="E54" s="14">
        <f t="shared" ref="E54:E56" si="23">IF(D54="X",100*0.1,"")</f>
        <v>10</v>
      </c>
      <c r="F54" s="14" t="str">
        <f>IF($C54=L,"X","")</f>
        <v/>
      </c>
      <c r="G54" s="14" t="str">
        <f t="shared" ref="G54:G56" si="24">IF(F54="X",60*0.1,"")</f>
        <v/>
      </c>
      <c r="H54" s="14" t="str">
        <f>IF($C54=ML,"X","")</f>
        <v/>
      </c>
      <c r="I54" s="14" t="str">
        <f t="shared" ref="I54:I56" si="25">IF(H54="X",30*0.1,"")</f>
        <v/>
      </c>
      <c r="J54" s="14" t="str">
        <f>IF($C54=NL,"X","")</f>
        <v/>
      </c>
      <c r="K54" s="14" t="str">
        <f t="shared" ref="K54:K56" si="26">IF($J54="X",0,"")</f>
        <v/>
      </c>
    </row>
    <row r="55" spans="1:11" ht="15.75" customHeight="1">
      <c r="A55" s="53"/>
      <c r="B55" s="12" t="str">
        <f>RUBRICA!A15</f>
        <v>11. Expone el tema utilizando un lenguaje técnico disciplinar al presentar la propuesta y responde evidenciando un manejo de la información. *</v>
      </c>
      <c r="C55" s="26" t="s">
        <v>12</v>
      </c>
      <c r="D55" s="14" t="str">
        <f>IF($C55=CL,"X","")</f>
        <v/>
      </c>
      <c r="E55" s="14" t="str">
        <f t="shared" si="23"/>
        <v/>
      </c>
      <c r="F55" s="14" t="str">
        <f>IF($C55=L,"X","")</f>
        <v>X</v>
      </c>
      <c r="G55" s="14">
        <f t="shared" si="24"/>
        <v>6</v>
      </c>
      <c r="H55" s="14" t="str">
        <f>IF($C55=ML,"X","")</f>
        <v/>
      </c>
      <c r="I55" s="14" t="str">
        <f t="shared" si="25"/>
        <v/>
      </c>
      <c r="J55" s="14" t="str">
        <f>IF($C55=NL,"X","")</f>
        <v/>
      </c>
      <c r="K55" s="14" t="str">
        <f t="shared" si="26"/>
        <v/>
      </c>
    </row>
    <row r="56" spans="1:11" ht="15.75" customHeight="1">
      <c r="A56" s="53"/>
      <c r="B56" s="12" t="str">
        <f>RUBRICA!A17</f>
        <v>13. Colaboración y trabajo en equipo *</v>
      </c>
      <c r="C56" s="26" t="s">
        <v>11</v>
      </c>
      <c r="D56" s="14" t="str">
        <f>IF($C56=CL,"X","")</f>
        <v>X</v>
      </c>
      <c r="E56" s="14">
        <f t="shared" si="23"/>
        <v>10</v>
      </c>
      <c r="F56" s="14" t="str">
        <f>IF($C56=L,"X","")</f>
        <v/>
      </c>
      <c r="G56" s="14" t="str">
        <f t="shared" si="24"/>
        <v/>
      </c>
      <c r="H56" s="14" t="str">
        <f>IF($C56=ML,"X","")</f>
        <v/>
      </c>
      <c r="I56" s="14" t="str">
        <f t="shared" si="25"/>
        <v/>
      </c>
      <c r="J56" s="14" t="str">
        <f>IF($C56=NL,"X","")</f>
        <v/>
      </c>
      <c r="K56" s="14" t="str">
        <f t="shared" si="26"/>
        <v/>
      </c>
    </row>
    <row r="57" spans="1:11" ht="15.75" customHeight="1">
      <c r="A57" s="53"/>
      <c r="B57" s="21" t="s">
        <v>21</v>
      </c>
      <c r="C57" s="22">
        <f>E57+G57+I57+K57</f>
        <v>26</v>
      </c>
      <c r="D57" s="17">
        <f>COUNTIF(D55:D56,"X")</f>
        <v>1</v>
      </c>
      <c r="E57" s="17">
        <f t="shared" ref="E57:K57" si="27">SUM(E54:E56)</f>
        <v>20</v>
      </c>
      <c r="F57" s="17">
        <f t="shared" si="27"/>
        <v>0</v>
      </c>
      <c r="G57" s="17">
        <f t="shared" si="27"/>
        <v>6</v>
      </c>
      <c r="H57" s="17">
        <f t="shared" si="27"/>
        <v>0</v>
      </c>
      <c r="I57" s="17">
        <f t="shared" si="27"/>
        <v>0</v>
      </c>
      <c r="J57" s="17">
        <f t="shared" si="27"/>
        <v>0</v>
      </c>
      <c r="K57" s="17">
        <f t="shared" si="27"/>
        <v>0</v>
      </c>
    </row>
    <row r="58" spans="1:11" ht="15.75" customHeight="1">
      <c r="A58" s="54"/>
      <c r="B58" s="23" t="s">
        <v>16</v>
      </c>
      <c r="C58" s="19">
        <f>VLOOKUP(C57,ESCALA_TRAB_EQUIP!A2:B62,2,FALSE)</f>
        <v>6</v>
      </c>
    </row>
    <row r="59" spans="1:11" ht="15.75" customHeight="1">
      <c r="B59" s="24"/>
      <c r="C59" s="25"/>
    </row>
    <row r="60" spans="1:11" ht="15.75" customHeight="1"/>
    <row r="61" spans="1:11" ht="15.75" customHeight="1">
      <c r="A61" s="55" t="s">
        <v>17</v>
      </c>
      <c r="B61" s="56" t="s">
        <v>18</v>
      </c>
      <c r="C61" s="62" t="str">
        <f>B7</f>
        <v>VALLEJOS FLORES MARTIN SANTIAGO</v>
      </c>
      <c r="D61" s="63"/>
      <c r="E61" s="63"/>
      <c r="F61" s="63"/>
      <c r="G61" s="63"/>
      <c r="H61" s="63"/>
      <c r="I61" s="63"/>
      <c r="J61" s="63"/>
      <c r="K61" s="64"/>
    </row>
    <row r="62" spans="1:11" ht="15.75" customHeight="1">
      <c r="A62" s="53"/>
      <c r="B62" s="54"/>
      <c r="C62" s="65"/>
      <c r="D62" s="66"/>
      <c r="E62" s="66"/>
      <c r="F62" s="66"/>
      <c r="G62" s="66"/>
      <c r="H62" s="66"/>
      <c r="I62" s="66"/>
      <c r="J62" s="66"/>
      <c r="K62" s="67"/>
    </row>
    <row r="63" spans="1:11" ht="15.75" customHeight="1">
      <c r="A63" s="53"/>
      <c r="B63" s="10" t="s">
        <v>19</v>
      </c>
      <c r="C63" s="58" t="s">
        <v>8</v>
      </c>
      <c r="D63" s="59" t="s">
        <v>9</v>
      </c>
      <c r="E63" s="60"/>
      <c r="F63" s="60"/>
      <c r="G63" s="60"/>
      <c r="H63" s="60"/>
      <c r="I63" s="60"/>
      <c r="J63" s="60"/>
      <c r="K63" s="61"/>
    </row>
    <row r="64" spans="1:11" ht="15.75" customHeight="1">
      <c r="A64" s="53"/>
      <c r="B64" s="20" t="s">
        <v>10</v>
      </c>
      <c r="C64" s="54"/>
      <c r="D64" s="59" t="s">
        <v>11</v>
      </c>
      <c r="E64" s="61"/>
      <c r="F64" s="59" t="s">
        <v>12</v>
      </c>
      <c r="G64" s="61"/>
      <c r="H64" s="59" t="s">
        <v>20</v>
      </c>
      <c r="I64" s="61"/>
      <c r="J64" s="59" t="s">
        <v>14</v>
      </c>
      <c r="K64" s="61"/>
    </row>
    <row r="65" spans="1:11" ht="25.5" customHeight="1">
      <c r="A65" s="53"/>
      <c r="B65" s="12" t="str">
        <f>RUBRICA!A17</f>
        <v>13. Colaboración y trabajo en equipo *</v>
      </c>
      <c r="C65" s="26" t="s">
        <v>11</v>
      </c>
      <c r="D65" s="14" t="str">
        <f>IF($C65=CL,"X","")</f>
        <v>X</v>
      </c>
      <c r="E65" s="14">
        <f t="shared" ref="E65:E67" si="28">IF(D65="X",100*0.1,"")</f>
        <v>10</v>
      </c>
      <c r="F65" s="14" t="str">
        <f>IF($C65=L,"X","")</f>
        <v/>
      </c>
      <c r="G65" s="14" t="str">
        <f t="shared" ref="G65:G67" si="29">IF(F65="X",60*0.1,"")</f>
        <v/>
      </c>
      <c r="H65" s="14" t="str">
        <f>IF($C65=ML,"X","")</f>
        <v/>
      </c>
      <c r="I65" s="14" t="str">
        <f t="shared" ref="I65:I67" si="30">IF(H65="X",30*0.1,"")</f>
        <v/>
      </c>
      <c r="J65" s="14" t="str">
        <f>IF($C65=NL,"X","")</f>
        <v/>
      </c>
      <c r="K65" s="14" t="str">
        <f t="shared" ref="K65:K67" si="31">IF($J65="X",0,"")</f>
        <v/>
      </c>
    </row>
    <row r="66" spans="1:11" ht="15.75" customHeight="1">
      <c r="A66" s="53"/>
      <c r="B66" s="12" t="str">
        <f>RUBRICA!A15</f>
        <v>11. Expone el tema utilizando un lenguaje técnico disciplinar al presentar la propuesta y responde evidenciando un manejo de la información. *</v>
      </c>
      <c r="C66" s="26" t="s">
        <v>12</v>
      </c>
      <c r="D66" s="14" t="str">
        <f>IF($C66=CL,"X","")</f>
        <v/>
      </c>
      <c r="E66" s="14" t="str">
        <f t="shared" si="28"/>
        <v/>
      </c>
      <c r="F66" s="14" t="str">
        <f>IF($C66=L,"X","")</f>
        <v>X</v>
      </c>
      <c r="G66" s="14">
        <f t="shared" si="29"/>
        <v>6</v>
      </c>
      <c r="H66" s="14" t="str">
        <f>IF($C66=ML,"X","")</f>
        <v/>
      </c>
      <c r="I66" s="14" t="str">
        <f t="shared" si="30"/>
        <v/>
      </c>
      <c r="J66" s="14" t="str">
        <f>IF($C66=NL,"X","")</f>
        <v/>
      </c>
      <c r="K66" s="14" t="str">
        <f t="shared" si="31"/>
        <v/>
      </c>
    </row>
    <row r="67" spans="1:11" ht="15.75" customHeight="1">
      <c r="A67" s="53"/>
      <c r="B67" s="12" t="str">
        <f>RUBRICA!A17</f>
        <v>13. Colaboración y trabajo en equipo *</v>
      </c>
      <c r="C67" s="26" t="s">
        <v>11</v>
      </c>
      <c r="D67" s="14" t="str">
        <f>IF($C67=CL,"X","")</f>
        <v>X</v>
      </c>
      <c r="E67" s="14">
        <f t="shared" si="28"/>
        <v>10</v>
      </c>
      <c r="F67" s="14" t="str">
        <f>IF($C67=L,"X","")</f>
        <v/>
      </c>
      <c r="G67" s="14" t="str">
        <f t="shared" si="29"/>
        <v/>
      </c>
      <c r="H67" s="14" t="str">
        <f>IF($C67=ML,"X","")</f>
        <v/>
      </c>
      <c r="I67" s="14" t="str">
        <f t="shared" si="30"/>
        <v/>
      </c>
      <c r="J67" s="14" t="str">
        <f>IF($C67=NL,"X","")</f>
        <v/>
      </c>
      <c r="K67" s="14" t="str">
        <f t="shared" si="31"/>
        <v/>
      </c>
    </row>
    <row r="68" spans="1:11" ht="15.75" customHeight="1">
      <c r="A68" s="53"/>
      <c r="B68" s="21" t="s">
        <v>21</v>
      </c>
      <c r="C68" s="22">
        <f>E68+G68+I68+K68</f>
        <v>26</v>
      </c>
      <c r="D68" s="17">
        <f>COUNTIF(D66:D67,"X")</f>
        <v>1</v>
      </c>
      <c r="E68" s="17">
        <f t="shared" ref="E68:K68" si="32">SUM(E65:E67)</f>
        <v>20</v>
      </c>
      <c r="F68" s="17">
        <f t="shared" si="32"/>
        <v>0</v>
      </c>
      <c r="G68" s="17">
        <f t="shared" si="32"/>
        <v>6</v>
      </c>
      <c r="H68" s="17">
        <f t="shared" si="32"/>
        <v>0</v>
      </c>
      <c r="I68" s="17">
        <f t="shared" si="32"/>
        <v>0</v>
      </c>
      <c r="J68" s="17">
        <f t="shared" si="32"/>
        <v>0</v>
      </c>
      <c r="K68" s="17">
        <f t="shared" si="32"/>
        <v>0</v>
      </c>
    </row>
    <row r="69" spans="1:11" ht="15.75" customHeight="1">
      <c r="A69" s="54"/>
      <c r="B69" s="23" t="s">
        <v>16</v>
      </c>
      <c r="C69" s="19">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A61:A69"/>
    <mergeCell ref="B61:B62"/>
    <mergeCell ref="C61:K62"/>
    <mergeCell ref="C63:C64"/>
    <mergeCell ref="D63:K63"/>
    <mergeCell ref="D64:E64"/>
    <mergeCell ref="F64:G64"/>
    <mergeCell ref="H64:I64"/>
    <mergeCell ref="J64:K6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s>
  <conditionalFormatting sqref="C4:E7">
    <cfRule type="cellIs" dxfId="1" priority="1" operator="lessThan">
      <formula>4</formula>
    </cfRule>
  </conditionalFormatting>
  <conditionalFormatting sqref="C4:E7">
    <cfRule type="cellIs" dxfId="0" priority="2" operator="lessThan">
      <formula>1</formula>
    </cfRule>
  </conditionalFormatting>
  <dataValidations count="1">
    <dataValidation type="decimal" allowBlank="1" showInputMessage="1" showErrorMessage="1" prompt="Error de Ingreso - Nota debe estar entre 1,0 y 7,0" sqref="C4:E7" xr:uid="{0AA10FF5-46BC-4761-BAAF-35E3BCF83049}">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65EB5E7A-6897-4BD8-8E8B-E1231AE11D94}">
          <x14:formula1>
            <xm:f>'RELEVANCIA-PUNTAJE'!$B$2:$E$2</xm:f>
          </x14:formula1>
          <xm:sqref>C13:C22 C31:C33 C43:C45 C54:C56 C65:C67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K1000"/>
  <sheetViews>
    <sheetView workbookViewId="0">
      <selection sqref="A1:XFD1048576"/>
    </sheetView>
  </sheetViews>
  <sheetFormatPr baseColWidth="10" defaultColWidth="14.42578125" defaultRowHeight="15" customHeight="1" outlineLevelRow="1"/>
  <cols>
    <col min="1" max="1" width="10.7109375" customWidth="1"/>
    <col min="2" max="2" width="66.85546875" customWidth="1"/>
    <col min="3" max="3" width="22" customWidth="1"/>
    <col min="4" max="4" width="11.28515625" customWidth="1"/>
    <col min="5" max="7" width="11.7109375" customWidth="1"/>
    <col min="8" max="8" width="7.7109375" customWidth="1"/>
    <col min="9" max="9" width="11.7109375" customWidth="1"/>
    <col min="10" max="10" width="7.7109375" customWidth="1"/>
    <col min="11" max="11" width="11.7109375" customWidth="1"/>
  </cols>
  <sheetData>
    <row r="2" spans="1:11">
      <c r="C2" s="1">
        <v>0.75</v>
      </c>
      <c r="D2" s="1">
        <v>0.25</v>
      </c>
      <c r="E2" s="57">
        <v>1</v>
      </c>
    </row>
    <row r="3" spans="1:11">
      <c r="B3" s="2" t="s">
        <v>0</v>
      </c>
      <c r="C3" s="3" t="s">
        <v>1</v>
      </c>
      <c r="D3" s="1" t="s">
        <v>2</v>
      </c>
      <c r="E3" s="54"/>
    </row>
    <row r="4" spans="1:11">
      <c r="A4" s="4">
        <v>1</v>
      </c>
      <c r="B4" s="5" t="s">
        <v>3</v>
      </c>
      <c r="C4" s="6">
        <f>'G5'!$C$24</f>
        <v>6.4</v>
      </c>
      <c r="D4" s="6">
        <f>$C$35</f>
        <v>6</v>
      </c>
      <c r="E4" s="7">
        <f t="shared" ref="E4:E6" si="0">C4*C$2+D4*D$2</f>
        <v>6.3000000000000007</v>
      </c>
      <c r="G4" s="8"/>
    </row>
    <row r="5" spans="1:11">
      <c r="A5" s="4">
        <v>2</v>
      </c>
      <c r="B5" s="5" t="s">
        <v>4</v>
      </c>
      <c r="C5" s="6">
        <f>'G5'!$C$24</f>
        <v>6.4</v>
      </c>
      <c r="D5" s="6">
        <f>C47</f>
        <v>5.3</v>
      </c>
      <c r="E5" s="7">
        <f t="shared" si="0"/>
        <v>6.1250000000000009</v>
      </c>
      <c r="G5" s="8"/>
    </row>
    <row r="6" spans="1:11">
      <c r="A6" s="4">
        <v>3</v>
      </c>
      <c r="B6" s="5" t="s">
        <v>5</v>
      </c>
      <c r="C6" s="6">
        <f>'G5'!$C$24</f>
        <v>6.4</v>
      </c>
      <c r="D6" s="6">
        <f>C58</f>
        <v>6</v>
      </c>
      <c r="E6" s="7">
        <f t="shared" si="0"/>
        <v>6.3000000000000007</v>
      </c>
      <c r="G6" s="8"/>
    </row>
    <row r="7" spans="1:11">
      <c r="A7" s="78">
        <v>4</v>
      </c>
      <c r="B7" s="9" t="s">
        <v>7</v>
      </c>
      <c r="C7" s="6">
        <f>'G5'!$C$24</f>
        <v>6.4</v>
      </c>
      <c r="D7" s="6">
        <f>C69</f>
        <v>6</v>
      </c>
      <c r="E7" s="7">
        <f t="shared" ref="E7" si="1">C7*C$2+D7*D$2</f>
        <v>6.3000000000000007</v>
      </c>
    </row>
    <row r="11" spans="1:11" ht="18.75" outlineLevel="1">
      <c r="A11" s="52" t="s">
        <v>6</v>
      </c>
      <c r="B11" s="10"/>
      <c r="C11" s="58" t="s">
        <v>8</v>
      </c>
      <c r="D11" s="59" t="s">
        <v>9</v>
      </c>
      <c r="E11" s="60"/>
      <c r="F11" s="60"/>
      <c r="G11" s="60"/>
      <c r="H11" s="60"/>
      <c r="I11" s="60"/>
      <c r="J11" s="60"/>
      <c r="K11" s="61"/>
    </row>
    <row r="12" spans="1:11" outlineLevel="1">
      <c r="A12" s="53"/>
      <c r="B12" s="11" t="s">
        <v>10</v>
      </c>
      <c r="C12" s="54"/>
      <c r="D12" s="59" t="s">
        <v>11</v>
      </c>
      <c r="E12" s="61"/>
      <c r="F12" s="59" t="s">
        <v>12</v>
      </c>
      <c r="G12" s="61"/>
      <c r="H12" s="59" t="s">
        <v>13</v>
      </c>
      <c r="I12" s="61"/>
      <c r="J12" s="59" t="s">
        <v>14</v>
      </c>
      <c r="K12" s="61"/>
    </row>
    <row r="13" spans="1:11" ht="24" outlineLevel="1">
      <c r="A13" s="53"/>
      <c r="B13" s="12" t="str">
        <f>RUBRICA!A5</f>
        <v>1. Describe brevemente en qué consiste el Proyecto APT, justificando su relevancia para el campo laboral de su carrera.</v>
      </c>
      <c r="C13" s="13" t="s">
        <v>11</v>
      </c>
      <c r="D13" s="14" t="str">
        <f t="shared" ref="D13:D22" si="2">IF($C13=CL,"X","")</f>
        <v>X</v>
      </c>
      <c r="E13" s="14">
        <f>IF(D13="X",100*0.1,"")</f>
        <v>10</v>
      </c>
      <c r="F13" s="14" t="str">
        <f t="shared" ref="F13:F22" si="3">IF($C13=L,"X","")</f>
        <v/>
      </c>
      <c r="G13" s="14" t="str">
        <f>IF(F13="X",60*0.1,"")</f>
        <v/>
      </c>
      <c r="H13" s="14" t="str">
        <f t="shared" ref="H13:H22" si="4">IF($C13=ML,"X","")</f>
        <v/>
      </c>
      <c r="I13" s="14" t="str">
        <f>IF(H13="X",30*0.1,"")</f>
        <v/>
      </c>
      <c r="J13" s="14" t="str">
        <f t="shared" ref="J13:J22" si="5">IF($C13=NL,"X","")</f>
        <v/>
      </c>
      <c r="K13" s="14" t="str">
        <f t="shared" ref="K13:K22" si="6">IF($J13="X",0,"")</f>
        <v/>
      </c>
    </row>
    <row r="14" spans="1:11" ht="26.25" customHeight="1" outlineLevel="1">
      <c r="A14" s="53"/>
      <c r="B14" s="12" t="str">
        <f>RUBRICA!A6</f>
        <v>2. Relaciona el Proyecto APT con las competencias del perfil de egreso de su Plan de Estudio.</v>
      </c>
      <c r="C14" s="13" t="s">
        <v>11</v>
      </c>
      <c r="D14" s="14" t="str">
        <f t="shared" si="2"/>
        <v>X</v>
      </c>
      <c r="E14" s="14">
        <f t="shared" ref="E14:E16" si="7">IF(D14="X",100*0.05,"")</f>
        <v>5</v>
      </c>
      <c r="F14" s="14" t="str">
        <f t="shared" si="3"/>
        <v/>
      </c>
      <c r="G14" s="14" t="str">
        <f t="shared" ref="G14:G16" si="8">IF(F14="X",60*0.05,"")</f>
        <v/>
      </c>
      <c r="H14" s="14" t="str">
        <f t="shared" si="4"/>
        <v/>
      </c>
      <c r="I14" s="14" t="str">
        <f t="shared" ref="I14:I16" si="9">IF(H14="X",30*0.05,"")</f>
        <v/>
      </c>
      <c r="J14" s="14" t="str">
        <f t="shared" si="5"/>
        <v/>
      </c>
      <c r="K14" s="14" t="str">
        <f t="shared" si="6"/>
        <v/>
      </c>
    </row>
    <row r="15" spans="1:11" ht="24" outlineLevel="1">
      <c r="A15" s="53"/>
      <c r="B15" s="12" t="str">
        <f>RUBRICA!A8</f>
        <v xml:space="preserve">4.  Argumenta por qué el proyecto es factible de realizarse en el marco de la asignatura. </v>
      </c>
      <c r="C15" s="13" t="s">
        <v>12</v>
      </c>
      <c r="D15" s="14" t="str">
        <f t="shared" si="2"/>
        <v/>
      </c>
      <c r="E15" s="14" t="str">
        <f t="shared" si="7"/>
        <v/>
      </c>
      <c r="F15" s="14" t="str">
        <f t="shared" si="3"/>
        <v>X</v>
      </c>
      <c r="G15" s="14">
        <f t="shared" si="8"/>
        <v>3</v>
      </c>
      <c r="H15" s="14" t="str">
        <f t="shared" si="4"/>
        <v/>
      </c>
      <c r="I15" s="14" t="str">
        <f t="shared" si="9"/>
        <v/>
      </c>
      <c r="J15" s="14" t="str">
        <f t="shared" si="5"/>
        <v/>
      </c>
      <c r="K15" s="14" t="str">
        <f t="shared" si="6"/>
        <v/>
      </c>
    </row>
    <row r="16" spans="1:11" ht="24" outlineLevel="1">
      <c r="A16" s="53"/>
      <c r="B16" s="12" t="str">
        <f>RUBRICA!A9</f>
        <v xml:space="preserve">5. Formula objetivos claros, concisos y coherentes con la disciplina y la situación a abordar. </v>
      </c>
      <c r="C16" s="13" t="s">
        <v>12</v>
      </c>
      <c r="D16" s="14" t="str">
        <f t="shared" si="2"/>
        <v/>
      </c>
      <c r="E16" s="14" t="str">
        <f t="shared" si="7"/>
        <v/>
      </c>
      <c r="F16" s="14" t="str">
        <f t="shared" si="3"/>
        <v>X</v>
      </c>
      <c r="G16" s="14">
        <f t="shared" si="8"/>
        <v>3</v>
      </c>
      <c r="H16" s="14" t="str">
        <f t="shared" si="4"/>
        <v/>
      </c>
      <c r="I16" s="14" t="str">
        <f t="shared" si="9"/>
        <v/>
      </c>
      <c r="J16" s="14" t="str">
        <f t="shared" si="5"/>
        <v/>
      </c>
      <c r="K16" s="14" t="str">
        <f t="shared" si="6"/>
        <v/>
      </c>
    </row>
    <row r="17" spans="1:11" ht="24" outlineLevel="1">
      <c r="A17" s="53"/>
      <c r="B17" s="12" t="str">
        <f>RUBRICA!A10</f>
        <v>6. Propone una metodología de trabajo que permite alcanzar los objetivos propuestos y es pertinente con los requerimientos disciplinares.</v>
      </c>
      <c r="C17" s="13" t="s">
        <v>11</v>
      </c>
      <c r="D17" s="14" t="str">
        <f t="shared" si="2"/>
        <v>X</v>
      </c>
      <c r="E17" s="14">
        <f t="shared" ref="E17:E18" si="10">IF(D17="X",100*0.1,"")</f>
        <v>10</v>
      </c>
      <c r="F17" s="14" t="str">
        <f t="shared" si="3"/>
        <v/>
      </c>
      <c r="G17" s="14" t="str">
        <f t="shared" ref="G17:G18" si="11">IF(F17="X",60*0.1,"")</f>
        <v/>
      </c>
      <c r="H17" s="14" t="str">
        <f t="shared" si="4"/>
        <v/>
      </c>
      <c r="I17" s="14" t="str">
        <f t="shared" ref="I17:I18" si="12">IF(H17="X",30*0.1,"")</f>
        <v/>
      </c>
      <c r="J17" s="14" t="str">
        <f t="shared" si="5"/>
        <v/>
      </c>
      <c r="K17" s="14" t="str">
        <f t="shared" si="6"/>
        <v/>
      </c>
    </row>
    <row r="18" spans="1:11" ht="24" outlineLevel="1">
      <c r="A18" s="53"/>
      <c r="B18" s="12" t="str">
        <f>RUBRICA!A11</f>
        <v xml:space="preserve">7. Establece un plan de trabajo para su proyecto APT considerando los recursos, duración, facilitadores y obstaculizadores en el desarrollo de las actividades. </v>
      </c>
      <c r="C18" s="13" t="s">
        <v>11</v>
      </c>
      <c r="D18" s="14" t="str">
        <f t="shared" si="2"/>
        <v>X</v>
      </c>
      <c r="E18" s="14">
        <f t="shared" si="10"/>
        <v>10</v>
      </c>
      <c r="F18" s="14" t="str">
        <f t="shared" si="3"/>
        <v/>
      </c>
      <c r="G18" s="14" t="str">
        <f t="shared" si="11"/>
        <v/>
      </c>
      <c r="H18" s="14" t="str">
        <f t="shared" si="4"/>
        <v/>
      </c>
      <c r="I18" s="14" t="str">
        <f t="shared" si="12"/>
        <v/>
      </c>
      <c r="J18" s="14" t="str">
        <f t="shared" si="5"/>
        <v/>
      </c>
      <c r="K18" s="14" t="str">
        <f t="shared" si="6"/>
        <v/>
      </c>
    </row>
    <row r="19" spans="1:11" ht="24" outlineLevel="1">
      <c r="A19" s="53"/>
      <c r="B19" s="12" t="str">
        <f>RUBRICA!A12</f>
        <v>8. Determina evidencias, justificando cómo estas dan cuenta del logro de las actividades del Proyecto APT.</v>
      </c>
      <c r="C19" s="13" t="s">
        <v>12</v>
      </c>
      <c r="D19" s="14" t="str">
        <f t="shared" si="2"/>
        <v/>
      </c>
      <c r="E19" s="14" t="str">
        <f t="shared" ref="E19:E21" si="13">IF(D19="X",100*0.05,"")</f>
        <v/>
      </c>
      <c r="F19" s="14" t="str">
        <f t="shared" si="3"/>
        <v>X</v>
      </c>
      <c r="G19" s="14">
        <f t="shared" ref="G19:G21" si="14">IF(F19="X",60*0.05,"")</f>
        <v>3</v>
      </c>
      <c r="H19" s="14" t="str">
        <f t="shared" si="4"/>
        <v/>
      </c>
      <c r="I19" s="14" t="str">
        <f t="shared" ref="I19:I21" si="15">IF(H19="X",30*0.05,"")</f>
        <v/>
      </c>
      <c r="J19" s="14" t="str">
        <f t="shared" si="5"/>
        <v/>
      </c>
      <c r="K19" s="14" t="str">
        <f t="shared" si="6"/>
        <v/>
      </c>
    </row>
    <row r="20" spans="1:11" ht="24" outlineLevel="1">
      <c r="A20" s="53"/>
      <c r="B20" s="12" t="str">
        <f>RUBRICA!A13</f>
        <v xml:space="preserve">9. Utiliza reglas de redacción, ortografía (literal, puntual, acentual) y las normas para citas y referencias. </v>
      </c>
      <c r="C20" s="13" t="s">
        <v>11</v>
      </c>
      <c r="D20" s="14" t="str">
        <f t="shared" si="2"/>
        <v>X</v>
      </c>
      <c r="E20" s="14">
        <f t="shared" si="13"/>
        <v>5</v>
      </c>
      <c r="F20" s="14" t="str">
        <f t="shared" si="3"/>
        <v/>
      </c>
      <c r="G20" s="14" t="str">
        <f t="shared" si="14"/>
        <v/>
      </c>
      <c r="H20" s="14" t="str">
        <f t="shared" si="4"/>
        <v/>
      </c>
      <c r="I20" s="14" t="str">
        <f t="shared" si="15"/>
        <v/>
      </c>
      <c r="J20" s="14" t="str">
        <f t="shared" si="5"/>
        <v/>
      </c>
      <c r="K20" s="14" t="str">
        <f t="shared" si="6"/>
        <v/>
      </c>
    </row>
    <row r="21" spans="1:11" ht="22.5" customHeight="1" outlineLevel="1">
      <c r="A21" s="53"/>
      <c r="B21" s="12" t="str">
        <f>RUBRICA!A14</f>
        <v>10. Cumple completando el contenido del informe de presentación del proyecto de acuerdo con la plantilla entregada.</v>
      </c>
      <c r="C21" s="13" t="s">
        <v>11</v>
      </c>
      <c r="D21" s="14" t="str">
        <f t="shared" si="2"/>
        <v>X</v>
      </c>
      <c r="E21" s="14">
        <f t="shared" si="13"/>
        <v>5</v>
      </c>
      <c r="F21" s="14" t="str">
        <f t="shared" si="3"/>
        <v/>
      </c>
      <c r="G21" s="14" t="str">
        <f t="shared" si="14"/>
        <v/>
      </c>
      <c r="H21" s="14" t="str">
        <f t="shared" si="4"/>
        <v/>
      </c>
      <c r="I21" s="14" t="str">
        <f t="shared" si="15"/>
        <v/>
      </c>
      <c r="J21" s="14" t="str">
        <f t="shared" si="5"/>
        <v/>
      </c>
      <c r="K21" s="14" t="str">
        <f t="shared" si="6"/>
        <v/>
      </c>
    </row>
    <row r="22" spans="1:11" ht="36" outlineLevel="1">
      <c r="A22" s="53"/>
      <c r="B22" s="12" t="str">
        <f>RUBRICA!A16</f>
        <v>12. Desarrolla un plan de trabajo que permita del logro de los objetivos propuestos del proyecto de 
acuerdo a los tiempos para su desarrollo</v>
      </c>
      <c r="C22" s="13" t="s">
        <v>11</v>
      </c>
      <c r="D22" s="14" t="str">
        <f t="shared" si="2"/>
        <v>X</v>
      </c>
      <c r="E22" s="14">
        <f>IF(D22="X",100*0.1,"")</f>
        <v>10</v>
      </c>
      <c r="F22" s="14" t="str">
        <f t="shared" si="3"/>
        <v/>
      </c>
      <c r="G22" s="14" t="str">
        <f>IF(F22="X",60*0.1,"")</f>
        <v/>
      </c>
      <c r="H22" s="14" t="str">
        <f t="shared" si="4"/>
        <v/>
      </c>
      <c r="I22" s="14" t="str">
        <f>IF(H22="X",30*0.1,"")</f>
        <v/>
      </c>
      <c r="J22" s="14" t="str">
        <f t="shared" si="5"/>
        <v/>
      </c>
      <c r="K22" s="14" t="str">
        <f t="shared" si="6"/>
        <v/>
      </c>
    </row>
    <row r="23" spans="1:11" ht="15.75" customHeight="1" outlineLevel="1">
      <c r="A23" s="53"/>
      <c r="B23" s="15" t="s">
        <v>15</v>
      </c>
      <c r="C23" s="16">
        <f>E23+G23+I23+K23</f>
        <v>64</v>
      </c>
      <c r="D23" s="17"/>
      <c r="E23" s="17">
        <f>SUM(E13:E22)</f>
        <v>55</v>
      </c>
      <c r="F23" s="17"/>
      <c r="G23" s="17">
        <f>SUM(G13:G22)</f>
        <v>9</v>
      </c>
      <c r="H23" s="17"/>
      <c r="I23" s="17">
        <f>SUM(I13:I22)</f>
        <v>0</v>
      </c>
      <c r="J23" s="17"/>
      <c r="K23" s="17">
        <f>SUM(K13:K22)</f>
        <v>0</v>
      </c>
    </row>
    <row r="24" spans="1:11" ht="15.75" customHeight="1" outlineLevel="1">
      <c r="A24" s="54"/>
      <c r="B24" s="18" t="s">
        <v>16</v>
      </c>
      <c r="C24" s="19">
        <f>VLOOKUP(C23,ESCALA_IEP!A2:B142,2,FALSE)</f>
        <v>6.4</v>
      </c>
    </row>
    <row r="25" spans="1:11" ht="15.75" customHeight="1"/>
    <row r="26" spans="1:11" ht="15.75" customHeight="1"/>
    <row r="27" spans="1:11" ht="15.75" customHeight="1">
      <c r="A27" s="55" t="s">
        <v>17</v>
      </c>
      <c r="B27" s="56" t="s">
        <v>18</v>
      </c>
      <c r="C27" s="62" t="str">
        <f>$B$4</f>
        <v>BARRAZA LEIVA JUAN CARLOS</v>
      </c>
      <c r="D27" s="63"/>
      <c r="E27" s="63"/>
      <c r="F27" s="63"/>
      <c r="G27" s="63"/>
      <c r="H27" s="63"/>
      <c r="I27" s="63"/>
      <c r="J27" s="63"/>
      <c r="K27" s="64"/>
    </row>
    <row r="28" spans="1:11" ht="15.75" customHeight="1">
      <c r="A28" s="53"/>
      <c r="B28" s="54"/>
      <c r="C28" s="65"/>
      <c r="D28" s="66"/>
      <c r="E28" s="66"/>
      <c r="F28" s="66"/>
      <c r="G28" s="66"/>
      <c r="H28" s="66"/>
      <c r="I28" s="66"/>
      <c r="J28" s="66"/>
      <c r="K28" s="67"/>
    </row>
    <row r="29" spans="1:11" ht="15.75" customHeight="1">
      <c r="A29" s="53"/>
      <c r="B29" s="10" t="s">
        <v>19</v>
      </c>
      <c r="C29" s="58" t="s">
        <v>8</v>
      </c>
      <c r="D29" s="59" t="s">
        <v>9</v>
      </c>
      <c r="E29" s="60"/>
      <c r="F29" s="60"/>
      <c r="G29" s="60"/>
      <c r="H29" s="60"/>
      <c r="I29" s="60"/>
      <c r="J29" s="60"/>
      <c r="K29" s="61"/>
    </row>
    <row r="30" spans="1:11" ht="15.75" customHeight="1">
      <c r="A30" s="53"/>
      <c r="B30" s="20" t="s">
        <v>10</v>
      </c>
      <c r="C30" s="54"/>
      <c r="D30" s="59" t="s">
        <v>11</v>
      </c>
      <c r="E30" s="61"/>
      <c r="F30" s="59" t="s">
        <v>12</v>
      </c>
      <c r="G30" s="61"/>
      <c r="H30" s="59" t="s">
        <v>20</v>
      </c>
      <c r="I30" s="61"/>
      <c r="J30" s="59" t="s">
        <v>14</v>
      </c>
      <c r="K30" s="61"/>
    </row>
    <row r="31" spans="1:11" ht="24" customHeight="1">
      <c r="A31" s="53"/>
      <c r="B31" s="12" t="str">
        <f>RUBRICA!A7</f>
        <v>3. Relaciona el Proyecto APT con sus intereses profesionales. *</v>
      </c>
      <c r="C31" s="13" t="s">
        <v>11</v>
      </c>
      <c r="D31" s="14" t="str">
        <f>IF($C31=CL,"X","")</f>
        <v>X</v>
      </c>
      <c r="E31" s="14">
        <f t="shared" ref="E31:E33" si="16">IF(D31="X",100*0.1,"")</f>
        <v>10</v>
      </c>
      <c r="F31" s="14" t="str">
        <f>IF($C31=L,"X","")</f>
        <v/>
      </c>
      <c r="G31" s="14" t="str">
        <f t="shared" ref="G31:G33" si="17">IF(F31="X",60*0.1,"")</f>
        <v/>
      </c>
      <c r="H31" s="14" t="str">
        <f>IF($C31=ML,"X","")</f>
        <v/>
      </c>
      <c r="I31" s="14" t="str">
        <f t="shared" ref="I31:I33" si="18">IF(H31="X",30*0.1,"")</f>
        <v/>
      </c>
      <c r="J31" s="14" t="str">
        <f>IF($C31=NL,"X","")</f>
        <v/>
      </c>
      <c r="K31" s="14" t="str">
        <f t="shared" ref="K31:K33" si="19">IF($J31="X",0,"")</f>
        <v/>
      </c>
    </row>
    <row r="32" spans="1:11" ht="25.5" customHeight="1">
      <c r="A32" s="53"/>
      <c r="B32" s="12" t="str">
        <f>RUBRICA!A15</f>
        <v>11. Expone el tema utilizando un lenguaje técnico disciplinar al presentar la propuesta y responde evidenciando un manejo de la información. *</v>
      </c>
      <c r="C32" s="13" t="s">
        <v>12</v>
      </c>
      <c r="D32" s="14" t="str">
        <f>IF($C32=CL,"X","")</f>
        <v/>
      </c>
      <c r="E32" s="14" t="str">
        <f t="shared" si="16"/>
        <v/>
      </c>
      <c r="F32" s="14" t="str">
        <f>IF($C32=L,"X","")</f>
        <v>X</v>
      </c>
      <c r="G32" s="14">
        <f t="shared" si="17"/>
        <v>6</v>
      </c>
      <c r="H32" s="14" t="str">
        <f>IF($C32=ML,"X","")</f>
        <v/>
      </c>
      <c r="I32" s="14" t="str">
        <f t="shared" si="18"/>
        <v/>
      </c>
      <c r="J32" s="14" t="str">
        <f>IF($C32=NL,"X","")</f>
        <v/>
      </c>
      <c r="K32" s="14" t="str">
        <f t="shared" si="19"/>
        <v/>
      </c>
    </row>
    <row r="33" spans="1:11" ht="15.75" customHeight="1">
      <c r="A33" s="53"/>
      <c r="B33" s="12" t="str">
        <f>RUBRICA!A17</f>
        <v>13. Colaboración y trabajo en equipo *</v>
      </c>
      <c r="C33" s="13" t="s">
        <v>11</v>
      </c>
      <c r="D33" s="14" t="str">
        <f>IF($C33=CL,"X","")</f>
        <v>X</v>
      </c>
      <c r="E33" s="14">
        <f t="shared" si="16"/>
        <v>10</v>
      </c>
      <c r="F33" s="14" t="str">
        <f>IF($C33=L,"X","")</f>
        <v/>
      </c>
      <c r="G33" s="14" t="str">
        <f t="shared" si="17"/>
        <v/>
      </c>
      <c r="H33" s="14" t="str">
        <f>IF($C33=ML,"X","")</f>
        <v/>
      </c>
      <c r="I33" s="14" t="str">
        <f t="shared" si="18"/>
        <v/>
      </c>
      <c r="J33" s="14" t="str">
        <f>IF($C33=NL,"X","")</f>
        <v/>
      </c>
      <c r="K33" s="14" t="str">
        <f t="shared" si="19"/>
        <v/>
      </c>
    </row>
    <row r="34" spans="1:11" ht="15.75" customHeight="1">
      <c r="A34" s="53"/>
      <c r="B34" s="21" t="s">
        <v>21</v>
      </c>
      <c r="C34" s="22">
        <f>E34+G34+I34+K34</f>
        <v>26</v>
      </c>
      <c r="D34" s="17"/>
      <c r="E34" s="17">
        <f>SUM(E31:E33)</f>
        <v>20</v>
      </c>
      <c r="F34" s="17"/>
      <c r="G34" s="17">
        <f>SUM(G31:G33)</f>
        <v>6</v>
      </c>
      <c r="H34" s="17"/>
      <c r="I34" s="17">
        <f>SUM(I31:I33)</f>
        <v>0</v>
      </c>
      <c r="J34" s="17"/>
      <c r="K34" s="17">
        <f>SUM(K31:K33)</f>
        <v>0</v>
      </c>
    </row>
    <row r="35" spans="1:11" ht="15.75" customHeight="1">
      <c r="A35" s="54"/>
      <c r="B35" s="23" t="s">
        <v>16</v>
      </c>
      <c r="C35" s="19">
        <f>VLOOKUP(C34,ESCALA_TRAB_EQUIP!A2:B62,2,FALSE)</f>
        <v>6</v>
      </c>
    </row>
    <row r="36" spans="1:11" ht="15.75" customHeight="1">
      <c r="B36" s="24"/>
      <c r="C36" s="25"/>
    </row>
    <row r="37" spans="1:11" ht="15.75" customHeight="1">
      <c r="B37" s="24"/>
      <c r="C37" s="25"/>
    </row>
    <row r="38" spans="1:11" ht="15.75" customHeight="1"/>
    <row r="39" spans="1:11" ht="15.75" customHeight="1">
      <c r="A39" s="55" t="s">
        <v>17</v>
      </c>
      <c r="B39" s="56" t="s">
        <v>18</v>
      </c>
      <c r="C39" s="62" t="str">
        <f>B5</f>
        <v>CALFUCURA AVENDANO PABLO NICOLAS</v>
      </c>
      <c r="D39" s="63"/>
      <c r="E39" s="63"/>
      <c r="F39" s="63"/>
      <c r="G39" s="63"/>
      <c r="H39" s="63"/>
      <c r="I39" s="63"/>
      <c r="J39" s="63"/>
      <c r="K39" s="64"/>
    </row>
    <row r="40" spans="1:11" ht="15.75" customHeight="1">
      <c r="A40" s="53"/>
      <c r="B40" s="54"/>
      <c r="C40" s="65"/>
      <c r="D40" s="66"/>
      <c r="E40" s="66"/>
      <c r="F40" s="66"/>
      <c r="G40" s="66"/>
      <c r="H40" s="66"/>
      <c r="I40" s="66"/>
      <c r="J40" s="66"/>
      <c r="K40" s="67"/>
    </row>
    <row r="41" spans="1:11" ht="15.75" customHeight="1">
      <c r="A41" s="53"/>
      <c r="B41" s="10" t="s">
        <v>19</v>
      </c>
      <c r="C41" s="58" t="s">
        <v>8</v>
      </c>
      <c r="D41" s="59" t="s">
        <v>9</v>
      </c>
      <c r="E41" s="60"/>
      <c r="F41" s="60"/>
      <c r="G41" s="60"/>
      <c r="H41" s="60"/>
      <c r="I41" s="60"/>
      <c r="J41" s="60"/>
      <c r="K41" s="61"/>
    </row>
    <row r="42" spans="1:11" ht="15.75" customHeight="1">
      <c r="A42" s="53"/>
      <c r="B42" s="20" t="s">
        <v>10</v>
      </c>
      <c r="C42" s="54"/>
      <c r="D42" s="59" t="s">
        <v>11</v>
      </c>
      <c r="E42" s="61"/>
      <c r="F42" s="59" t="s">
        <v>12</v>
      </c>
      <c r="G42" s="61"/>
      <c r="H42" s="59" t="s">
        <v>20</v>
      </c>
      <c r="I42" s="61"/>
      <c r="J42" s="59" t="s">
        <v>14</v>
      </c>
      <c r="K42" s="61"/>
    </row>
    <row r="43" spans="1:11" ht="25.5" customHeight="1">
      <c r="A43" s="53"/>
      <c r="B43" s="12" t="str">
        <f>RUBRICA!A7</f>
        <v>3. Relaciona el Proyecto APT con sus intereses profesionales. *</v>
      </c>
      <c r="C43" s="13" t="s">
        <v>11</v>
      </c>
      <c r="D43" s="14" t="str">
        <f>IF($C43=CL,"X","")</f>
        <v>X</v>
      </c>
      <c r="E43" s="14">
        <f t="shared" ref="E43:E45" si="20">IF(D43="X",100*0.1,"")</f>
        <v>10</v>
      </c>
      <c r="F43" s="14" t="str">
        <f>IF($C43=L,"X","")</f>
        <v/>
      </c>
      <c r="G43" s="14" t="str">
        <f t="shared" ref="G43:G45" si="21">IF(F43="X",60*0.1,"")</f>
        <v/>
      </c>
      <c r="H43" s="14" t="str">
        <f>IF($C43=ML,"X","")</f>
        <v/>
      </c>
      <c r="I43" s="14" t="str">
        <f t="shared" ref="I43:I45" si="22">IF(H43="X",30*0.1,"")</f>
        <v/>
      </c>
      <c r="J43" s="14" t="str">
        <f>IF($C43=NL,"X","")</f>
        <v/>
      </c>
      <c r="K43" s="14" t="str">
        <f t="shared" ref="K43:K45" si="23">IF($J43="X",0,"")</f>
        <v/>
      </c>
    </row>
    <row r="44" spans="1:11" ht="24">
      <c r="A44" s="53"/>
      <c r="B44" s="12" t="str">
        <f>RUBRICA!A15</f>
        <v>11. Expone el tema utilizando un lenguaje técnico disciplinar al presentar la propuesta y responde evidenciando un manejo de la información. *</v>
      </c>
      <c r="C44" s="26" t="s">
        <v>22</v>
      </c>
      <c r="D44" s="14" t="str">
        <f>IF($C44=CL,"X","")</f>
        <v/>
      </c>
      <c r="E44" s="14" t="str">
        <f t="shared" si="20"/>
        <v/>
      </c>
      <c r="F44" s="14" t="str">
        <f>IF($C44=L,"X","")</f>
        <v/>
      </c>
      <c r="G44" s="14" t="str">
        <f t="shared" si="21"/>
        <v/>
      </c>
      <c r="H44" s="14" t="str">
        <f>IF($C44=ML,"X","")</f>
        <v>X</v>
      </c>
      <c r="I44" s="14">
        <f t="shared" si="22"/>
        <v>3</v>
      </c>
      <c r="J44" s="14" t="str">
        <f>IF($C44=NL,"X","")</f>
        <v/>
      </c>
      <c r="K44" s="14" t="str">
        <f t="shared" si="23"/>
        <v/>
      </c>
    </row>
    <row r="45" spans="1:11" ht="15.75" customHeight="1">
      <c r="A45" s="53"/>
      <c r="B45" s="12" t="str">
        <f>RUBRICA!A17</f>
        <v>13. Colaboración y trabajo en equipo *</v>
      </c>
      <c r="C45" s="13" t="s">
        <v>11</v>
      </c>
      <c r="D45" s="14" t="str">
        <f>IF($C45=CL,"X","")</f>
        <v>X</v>
      </c>
      <c r="E45" s="14">
        <f t="shared" si="20"/>
        <v>10</v>
      </c>
      <c r="F45" s="14" t="str">
        <f>IF($C45=L,"X","")</f>
        <v/>
      </c>
      <c r="G45" s="14" t="str">
        <f t="shared" si="21"/>
        <v/>
      </c>
      <c r="H45" s="14" t="str">
        <f>IF($C45=ML,"X","")</f>
        <v/>
      </c>
      <c r="I45" s="14" t="str">
        <f t="shared" si="22"/>
        <v/>
      </c>
      <c r="J45" s="14" t="str">
        <f>IF($C45=NL,"X","")</f>
        <v/>
      </c>
      <c r="K45" s="14" t="str">
        <f t="shared" si="23"/>
        <v/>
      </c>
    </row>
    <row r="46" spans="1:11" ht="15.75" customHeight="1">
      <c r="A46" s="53"/>
      <c r="B46" s="21" t="s">
        <v>21</v>
      </c>
      <c r="C46" s="22">
        <f>E46+G46+I46+K46</f>
        <v>23</v>
      </c>
      <c r="D46" s="17"/>
      <c r="E46" s="17">
        <f>SUM(E43:E45)</f>
        <v>20</v>
      </c>
      <c r="F46" s="17"/>
      <c r="G46" s="17">
        <f>SUM(G43:G45)</f>
        <v>0</v>
      </c>
      <c r="H46" s="17"/>
      <c r="I46" s="17">
        <f>SUM(I43:I45)</f>
        <v>3</v>
      </c>
      <c r="J46" s="17"/>
      <c r="K46" s="17">
        <f>SUM(K43:K45)</f>
        <v>0</v>
      </c>
    </row>
    <row r="47" spans="1:11" ht="15.75" customHeight="1">
      <c r="A47" s="54"/>
      <c r="B47" s="23" t="s">
        <v>16</v>
      </c>
      <c r="C47" s="19">
        <f>VLOOKUP(C46,ESCALA_TRAB_EQUIP!A2:B62,2,FALSE)</f>
        <v>5.3</v>
      </c>
    </row>
    <row r="48" spans="1:11" ht="15.75" customHeight="1">
      <c r="B48" s="24"/>
      <c r="C48" s="25"/>
    </row>
    <row r="49" spans="1:11" ht="15.75" customHeight="1">
      <c r="B49" s="24"/>
      <c r="C49" s="25"/>
    </row>
    <row r="50" spans="1:11" ht="15.75" customHeight="1">
      <c r="A50" s="55" t="s">
        <v>17</v>
      </c>
      <c r="B50" s="56" t="s">
        <v>18</v>
      </c>
      <c r="C50" s="62" t="str">
        <f>B6</f>
        <v>ORELLANA BARRIOS AMARU DANTE ALFONSO</v>
      </c>
      <c r="D50" s="63"/>
      <c r="E50" s="63"/>
      <c r="F50" s="63"/>
      <c r="G50" s="63"/>
      <c r="H50" s="63"/>
      <c r="I50" s="63"/>
      <c r="J50" s="63"/>
      <c r="K50" s="64"/>
    </row>
    <row r="51" spans="1:11" ht="15.75" customHeight="1">
      <c r="A51" s="53"/>
      <c r="B51" s="54"/>
      <c r="C51" s="65"/>
      <c r="D51" s="66"/>
      <c r="E51" s="66"/>
      <c r="F51" s="66"/>
      <c r="G51" s="66"/>
      <c r="H51" s="66"/>
      <c r="I51" s="66"/>
      <c r="J51" s="66"/>
      <c r="K51" s="67"/>
    </row>
    <row r="52" spans="1:11" ht="15.75" customHeight="1">
      <c r="A52" s="53"/>
      <c r="B52" s="10" t="s">
        <v>19</v>
      </c>
      <c r="C52" s="58" t="s">
        <v>8</v>
      </c>
      <c r="D52" s="59" t="s">
        <v>9</v>
      </c>
      <c r="E52" s="60"/>
      <c r="F52" s="60"/>
      <c r="G52" s="60"/>
      <c r="H52" s="60"/>
      <c r="I52" s="60"/>
      <c r="J52" s="60"/>
      <c r="K52" s="61"/>
    </row>
    <row r="53" spans="1:11" ht="15.75" customHeight="1">
      <c r="A53" s="53"/>
      <c r="B53" s="20" t="s">
        <v>10</v>
      </c>
      <c r="C53" s="54"/>
      <c r="D53" s="59" t="s">
        <v>11</v>
      </c>
      <c r="E53" s="61"/>
      <c r="F53" s="59" t="s">
        <v>12</v>
      </c>
      <c r="G53" s="61"/>
      <c r="H53" s="59" t="s">
        <v>20</v>
      </c>
      <c r="I53" s="61"/>
      <c r="J53" s="59" t="s">
        <v>14</v>
      </c>
      <c r="K53" s="61"/>
    </row>
    <row r="54" spans="1:11" ht="25.5" customHeight="1">
      <c r="A54" s="53"/>
      <c r="B54" s="12" t="str">
        <f>RUBRICA!A7</f>
        <v>3. Relaciona el Proyecto APT con sus intereses profesionales. *</v>
      </c>
      <c r="C54" s="13" t="s">
        <v>11</v>
      </c>
      <c r="D54" s="14" t="str">
        <f>IF($C54=CL,"X","")</f>
        <v>X</v>
      </c>
      <c r="E54" s="14">
        <f t="shared" ref="E54:E56" si="24">IF(D54="X",100*0.1,"")</f>
        <v>10</v>
      </c>
      <c r="F54" s="14" t="str">
        <f>IF($C54=L,"X","")</f>
        <v/>
      </c>
      <c r="G54" s="14" t="str">
        <f t="shared" ref="G54:G56" si="25">IF(F54="X",60*0.1,"")</f>
        <v/>
      </c>
      <c r="H54" s="14" t="str">
        <f>IF($C54=ML,"X","")</f>
        <v/>
      </c>
      <c r="I54" s="14" t="str">
        <f t="shared" ref="I54:I56" si="26">IF(H54="X",30*0.1,"")</f>
        <v/>
      </c>
      <c r="J54" s="14" t="str">
        <f>IF($C54=NL,"X","")</f>
        <v/>
      </c>
      <c r="K54" s="14" t="str">
        <f t="shared" ref="K54:K56" si="27">IF($J54="X",0,"")</f>
        <v/>
      </c>
    </row>
    <row r="55" spans="1:11" ht="15.75" customHeight="1">
      <c r="A55" s="53"/>
      <c r="B55" s="12" t="str">
        <f>RUBRICA!A15</f>
        <v>11. Expone el tema utilizando un lenguaje técnico disciplinar al presentar la propuesta y responde evidenciando un manejo de la información. *</v>
      </c>
      <c r="C55" s="13" t="s">
        <v>12</v>
      </c>
      <c r="D55" s="14" t="str">
        <f>IF($C55=CL,"X","")</f>
        <v/>
      </c>
      <c r="E55" s="14" t="str">
        <f t="shared" si="24"/>
        <v/>
      </c>
      <c r="F55" s="14" t="str">
        <f>IF($C55=L,"X","")</f>
        <v>X</v>
      </c>
      <c r="G55" s="14">
        <f t="shared" si="25"/>
        <v>6</v>
      </c>
      <c r="H55" s="14" t="str">
        <f>IF($C55=ML,"X","")</f>
        <v/>
      </c>
      <c r="I55" s="14" t="str">
        <f t="shared" si="26"/>
        <v/>
      </c>
      <c r="J55" s="14" t="str">
        <f>IF($C55=NL,"X","")</f>
        <v/>
      </c>
      <c r="K55" s="14" t="str">
        <f t="shared" si="27"/>
        <v/>
      </c>
    </row>
    <row r="56" spans="1:11" ht="15.75" customHeight="1">
      <c r="A56" s="53"/>
      <c r="B56" s="12" t="str">
        <f>RUBRICA!A17</f>
        <v>13. Colaboración y trabajo en equipo *</v>
      </c>
      <c r="C56" s="13" t="s">
        <v>11</v>
      </c>
      <c r="D56" s="14" t="str">
        <f>IF($C56=CL,"X","")</f>
        <v>X</v>
      </c>
      <c r="E56" s="14">
        <f t="shared" si="24"/>
        <v>10</v>
      </c>
      <c r="F56" s="14" t="str">
        <f>IF($C56=L,"X","")</f>
        <v/>
      </c>
      <c r="G56" s="14" t="str">
        <f t="shared" si="25"/>
        <v/>
      </c>
      <c r="H56" s="14" t="str">
        <f>IF($C56=ML,"X","")</f>
        <v/>
      </c>
      <c r="I56" s="14" t="str">
        <f t="shared" si="26"/>
        <v/>
      </c>
      <c r="J56" s="14" t="str">
        <f>IF($C56=NL,"X","")</f>
        <v/>
      </c>
      <c r="K56" s="14" t="str">
        <f t="shared" si="27"/>
        <v/>
      </c>
    </row>
    <row r="57" spans="1:11" ht="15.75" customHeight="1">
      <c r="A57" s="53"/>
      <c r="B57" s="21" t="s">
        <v>21</v>
      </c>
      <c r="C57" s="22">
        <f>E57+G57+I57+K57</f>
        <v>26</v>
      </c>
      <c r="D57" s="17">
        <f>COUNTIF(D55:D56,"X")</f>
        <v>1</v>
      </c>
      <c r="E57" s="17">
        <f t="shared" ref="E57:K57" si="28">SUM(E54:E56)</f>
        <v>20</v>
      </c>
      <c r="F57" s="17">
        <f t="shared" si="28"/>
        <v>0</v>
      </c>
      <c r="G57" s="17">
        <f t="shared" si="28"/>
        <v>6</v>
      </c>
      <c r="H57" s="17">
        <f t="shared" si="28"/>
        <v>0</v>
      </c>
      <c r="I57" s="17">
        <f t="shared" si="28"/>
        <v>0</v>
      </c>
      <c r="J57" s="17">
        <f t="shared" si="28"/>
        <v>0</v>
      </c>
      <c r="K57" s="17">
        <f t="shared" si="28"/>
        <v>0</v>
      </c>
    </row>
    <row r="58" spans="1:11" ht="15.75" customHeight="1">
      <c r="A58" s="54"/>
      <c r="B58" s="23" t="s">
        <v>16</v>
      </c>
      <c r="C58" s="19">
        <f>VLOOKUP(C57,ESCALA_TRAB_EQUIP!A2:B62,2,FALSE)</f>
        <v>6</v>
      </c>
    </row>
    <row r="59" spans="1:11" ht="15.75" customHeight="1">
      <c r="B59" s="24"/>
      <c r="C59" s="25"/>
    </row>
    <row r="60" spans="1:11" ht="15.75" customHeight="1"/>
    <row r="61" spans="1:11" ht="15.75" customHeight="1">
      <c r="A61" s="55" t="s">
        <v>17</v>
      </c>
      <c r="B61" s="56" t="s">
        <v>18</v>
      </c>
      <c r="C61" s="62" t="str">
        <f>B7</f>
        <v>VALLEJOS FLORES MARTIN SANTIAGO</v>
      </c>
      <c r="D61" s="63"/>
      <c r="E61" s="63"/>
      <c r="F61" s="63"/>
      <c r="G61" s="63"/>
      <c r="H61" s="63"/>
      <c r="I61" s="63"/>
      <c r="J61" s="63"/>
      <c r="K61" s="64"/>
    </row>
    <row r="62" spans="1:11" ht="15.75" customHeight="1">
      <c r="A62" s="53"/>
      <c r="B62" s="54"/>
      <c r="C62" s="65"/>
      <c r="D62" s="66"/>
      <c r="E62" s="66"/>
      <c r="F62" s="66"/>
      <c r="G62" s="66"/>
      <c r="H62" s="66"/>
      <c r="I62" s="66"/>
      <c r="J62" s="66"/>
      <c r="K62" s="67"/>
    </row>
    <row r="63" spans="1:11" ht="15.75" customHeight="1">
      <c r="A63" s="53"/>
      <c r="B63" s="10" t="s">
        <v>19</v>
      </c>
      <c r="C63" s="58" t="s">
        <v>8</v>
      </c>
      <c r="D63" s="59" t="s">
        <v>9</v>
      </c>
      <c r="E63" s="60"/>
      <c r="F63" s="60"/>
      <c r="G63" s="60"/>
      <c r="H63" s="60"/>
      <c r="I63" s="60"/>
      <c r="J63" s="60"/>
      <c r="K63" s="61"/>
    </row>
    <row r="64" spans="1:11" ht="15.75" customHeight="1">
      <c r="A64" s="53"/>
      <c r="B64" s="20" t="s">
        <v>10</v>
      </c>
      <c r="C64" s="54"/>
      <c r="D64" s="59" t="s">
        <v>11</v>
      </c>
      <c r="E64" s="61"/>
      <c r="F64" s="59" t="s">
        <v>12</v>
      </c>
      <c r="G64" s="61"/>
      <c r="H64" s="59" t="s">
        <v>20</v>
      </c>
      <c r="I64" s="61"/>
      <c r="J64" s="59" t="s">
        <v>14</v>
      </c>
      <c r="K64" s="61"/>
    </row>
    <row r="65" spans="1:11" ht="25.5" customHeight="1">
      <c r="A65" s="53"/>
      <c r="B65" s="12" t="str">
        <f>RUBRICA!A17</f>
        <v>13. Colaboración y trabajo en equipo *</v>
      </c>
      <c r="C65" s="26" t="s">
        <v>11</v>
      </c>
      <c r="D65" s="14" t="str">
        <f>IF($C65=CL,"X","")</f>
        <v>X</v>
      </c>
      <c r="E65" s="14">
        <f t="shared" ref="E65:E67" si="29">IF(D65="X",100*0.1,"")</f>
        <v>10</v>
      </c>
      <c r="F65" s="14" t="str">
        <f>IF($C65=L,"X","")</f>
        <v/>
      </c>
      <c r="G65" s="14" t="str">
        <f t="shared" ref="G65:G67" si="30">IF(F65="X",60*0.1,"")</f>
        <v/>
      </c>
      <c r="H65" s="14" t="str">
        <f>IF($C65=ML,"X","")</f>
        <v/>
      </c>
      <c r="I65" s="14" t="str">
        <f t="shared" ref="I65:I67" si="31">IF(H65="X",30*0.1,"")</f>
        <v/>
      </c>
      <c r="J65" s="14" t="str">
        <f>IF($C65=NL,"X","")</f>
        <v/>
      </c>
      <c r="K65" s="14" t="str">
        <f t="shared" ref="K65:K67" si="32">IF($J65="X",0,"")</f>
        <v/>
      </c>
    </row>
    <row r="66" spans="1:11" ht="15.75" customHeight="1">
      <c r="A66" s="53"/>
      <c r="B66" s="12" t="str">
        <f>RUBRICA!A15</f>
        <v>11. Expone el tema utilizando un lenguaje técnico disciplinar al presentar la propuesta y responde evidenciando un manejo de la información. *</v>
      </c>
      <c r="C66" s="26" t="s">
        <v>12</v>
      </c>
      <c r="D66" s="14" t="str">
        <f>IF($C66=CL,"X","")</f>
        <v/>
      </c>
      <c r="E66" s="14" t="str">
        <f t="shared" si="29"/>
        <v/>
      </c>
      <c r="F66" s="14" t="str">
        <f>IF($C66=L,"X","")</f>
        <v>X</v>
      </c>
      <c r="G66" s="14">
        <f t="shared" si="30"/>
        <v>6</v>
      </c>
      <c r="H66" s="14" t="str">
        <f>IF($C66=ML,"X","")</f>
        <v/>
      </c>
      <c r="I66" s="14" t="str">
        <f t="shared" si="31"/>
        <v/>
      </c>
      <c r="J66" s="14" t="str">
        <f>IF($C66=NL,"X","")</f>
        <v/>
      </c>
      <c r="K66" s="14" t="str">
        <f t="shared" si="32"/>
        <v/>
      </c>
    </row>
    <row r="67" spans="1:11" ht="15.75" customHeight="1">
      <c r="A67" s="53"/>
      <c r="B67" s="12" t="str">
        <f>RUBRICA!A17</f>
        <v>13. Colaboración y trabajo en equipo *</v>
      </c>
      <c r="C67" s="26" t="s">
        <v>11</v>
      </c>
      <c r="D67" s="14" t="str">
        <f>IF($C67=CL,"X","")</f>
        <v>X</v>
      </c>
      <c r="E67" s="14">
        <f t="shared" si="29"/>
        <v>10</v>
      </c>
      <c r="F67" s="14" t="str">
        <f>IF($C67=L,"X","")</f>
        <v/>
      </c>
      <c r="G67" s="14" t="str">
        <f t="shared" si="30"/>
        <v/>
      </c>
      <c r="H67" s="14" t="str">
        <f>IF($C67=ML,"X","")</f>
        <v/>
      </c>
      <c r="I67" s="14" t="str">
        <f t="shared" si="31"/>
        <v/>
      </c>
      <c r="J67" s="14" t="str">
        <f>IF($C67=NL,"X","")</f>
        <v/>
      </c>
      <c r="K67" s="14" t="str">
        <f t="shared" si="32"/>
        <v/>
      </c>
    </row>
    <row r="68" spans="1:11" ht="15.75" customHeight="1">
      <c r="A68" s="53"/>
      <c r="B68" s="21" t="s">
        <v>21</v>
      </c>
      <c r="C68" s="22">
        <f>E68+G68+I68+K68</f>
        <v>26</v>
      </c>
      <c r="D68" s="17">
        <f>COUNTIF(D66:D67,"X")</f>
        <v>1</v>
      </c>
      <c r="E68" s="17">
        <f t="shared" ref="E68:K68" si="33">SUM(E65:E67)</f>
        <v>20</v>
      </c>
      <c r="F68" s="17">
        <f t="shared" si="33"/>
        <v>0</v>
      </c>
      <c r="G68" s="17">
        <f t="shared" si="33"/>
        <v>6</v>
      </c>
      <c r="H68" s="17">
        <f t="shared" si="33"/>
        <v>0</v>
      </c>
      <c r="I68" s="17">
        <f t="shared" si="33"/>
        <v>0</v>
      </c>
      <c r="J68" s="17">
        <f t="shared" si="33"/>
        <v>0</v>
      </c>
      <c r="K68" s="17">
        <f t="shared" si="33"/>
        <v>0</v>
      </c>
    </row>
    <row r="69" spans="1:11" ht="15.75" customHeight="1">
      <c r="A69" s="54"/>
      <c r="B69" s="23" t="s">
        <v>16</v>
      </c>
      <c r="C69" s="19">
        <f>VLOOKUP(C68,ESCALA_TRAB_EQUIP!A13:B73,2,FALSE)</f>
        <v>6</v>
      </c>
    </row>
    <row r="70" spans="1:11" ht="15.75" customHeight="1"/>
    <row r="71" spans="1:11" ht="15.75" customHeight="1"/>
    <row r="72" spans="1:11" ht="15.75" customHeight="1"/>
    <row r="73" spans="1:11" ht="15.75" customHeight="1"/>
    <row r="74" spans="1:11" ht="15.75" customHeight="1"/>
    <row r="75" spans="1:11" ht="15.75" customHeight="1"/>
    <row r="76" spans="1:11" ht="15.75" customHeight="1"/>
    <row r="77" spans="1:11" ht="15.75" customHeight="1"/>
    <row r="78" spans="1:11" ht="15.75" customHeight="1"/>
    <row r="79" spans="1:11" ht="15.75" customHeight="1"/>
    <row r="80" spans="1:11" ht="15.75" customHeight="1"/>
    <row r="81" customFormat="1" ht="15.75" customHeight="1"/>
    <row r="82" customFormat="1" ht="15.75" customHeight="1"/>
    <row r="83" customFormat="1" ht="15.75" customHeight="1"/>
    <row r="84" customFormat="1" ht="15.75" customHeight="1"/>
    <row r="85" customFormat="1" ht="15.75" customHeight="1"/>
    <row r="86" customFormat="1" ht="15.75" customHeight="1"/>
    <row r="87" customFormat="1" ht="15.75" customHeight="1"/>
    <row r="88" customFormat="1" ht="15.75" customHeight="1"/>
    <row r="89" customFormat="1" ht="15.75" customHeight="1"/>
    <row r="90" customFormat="1" ht="15.75" customHeight="1"/>
    <row r="91" customFormat="1" ht="15.75" customHeight="1"/>
    <row r="92" customFormat="1" ht="15.75" customHeight="1"/>
    <row r="93" customFormat="1" ht="15.75" customHeight="1"/>
    <row r="94" customFormat="1" ht="15.75" customHeight="1"/>
    <row r="95" customFormat="1" ht="15.75" customHeight="1"/>
    <row r="96" customFormat="1" ht="15.75" customHeight="1"/>
    <row r="97" customFormat="1" ht="15.75" customHeight="1"/>
    <row r="98" customFormat="1" ht="15.75" customHeight="1"/>
    <row r="99" customFormat="1" ht="15.75" customHeight="1"/>
    <row r="100" customFormat="1" ht="15.75" customHeight="1"/>
    <row r="101" customFormat="1" ht="15.75" customHeight="1"/>
    <row r="102" customFormat="1" ht="15.75" customHeight="1"/>
    <row r="103" customFormat="1" ht="15.75" customHeight="1"/>
    <row r="104" customFormat="1" ht="15.75" customHeight="1"/>
    <row r="105" customFormat="1" ht="15.75" customHeight="1"/>
    <row r="106" customFormat="1" ht="15.75" customHeight="1"/>
    <row r="107" customFormat="1" ht="15.75" customHeight="1"/>
    <row r="108" customFormat="1" ht="15.75" customHeight="1"/>
    <row r="109" customFormat="1" ht="15.75" customHeight="1"/>
    <row r="110" customFormat="1" ht="15.75" customHeight="1"/>
    <row r="111" customFormat="1" ht="15.75" customHeight="1"/>
    <row r="112" customFormat="1" ht="15.75" customHeight="1"/>
    <row r="113" customFormat="1" ht="15.75" customHeight="1"/>
    <row r="114" customFormat="1" ht="15.75" customHeight="1"/>
    <row r="115" customFormat="1" ht="15.75" customHeight="1"/>
    <row r="116" customFormat="1" ht="15.75" customHeight="1"/>
    <row r="117" customFormat="1" ht="15.75" customHeight="1"/>
    <row r="118" customFormat="1" ht="15.75" customHeight="1"/>
    <row r="119" customFormat="1" ht="15.75" customHeight="1"/>
    <row r="120" customFormat="1" ht="15.75" customHeight="1"/>
    <row r="121" customFormat="1" ht="15.75" customHeight="1"/>
    <row r="122" customFormat="1" ht="15.75" customHeight="1"/>
    <row r="123" customFormat="1" ht="15.75" customHeight="1"/>
    <row r="124" customFormat="1" ht="15.75" customHeight="1"/>
    <row r="125" customFormat="1" ht="15.75" customHeight="1"/>
    <row r="126" customFormat="1" ht="15.75" customHeight="1"/>
    <row r="127" customFormat="1" ht="15.75" customHeight="1"/>
    <row r="128" customFormat="1" ht="15.75" customHeight="1"/>
    <row r="129" customFormat="1" ht="15.75" customHeight="1"/>
    <row r="130" customFormat="1" ht="15.75" customHeight="1"/>
    <row r="131" customFormat="1" ht="15.75" customHeight="1"/>
    <row r="132" customFormat="1" ht="15.75" customHeight="1"/>
    <row r="133" customFormat="1" ht="15.75" customHeight="1"/>
    <row r="134" customFormat="1" ht="15.75" customHeight="1"/>
    <row r="135" customFormat="1" ht="15.75" customHeight="1"/>
    <row r="136" customFormat="1" ht="15.75" customHeight="1"/>
    <row r="137" customFormat="1" ht="15.75" customHeight="1"/>
    <row r="138" customFormat="1" ht="15.75" customHeight="1"/>
    <row r="139" customFormat="1" ht="15.75" customHeight="1"/>
    <row r="140" customFormat="1" ht="15.75" customHeight="1"/>
    <row r="141" customFormat="1" ht="15.75" customHeight="1"/>
    <row r="142" customFormat="1" ht="15.75" customHeight="1"/>
    <row r="143" customFormat="1" ht="15.75" customHeight="1"/>
    <row r="144" customFormat="1" ht="15.75" customHeight="1"/>
    <row r="145" customFormat="1" ht="15.75" customHeight="1"/>
    <row r="146" customFormat="1" ht="15.75" customHeight="1"/>
    <row r="147" customFormat="1" ht="15.75" customHeight="1"/>
    <row r="148" customFormat="1" ht="15.75" customHeight="1"/>
    <row r="149" customFormat="1" ht="15.75" customHeight="1"/>
    <row r="150" customFormat="1" ht="15.75" customHeight="1"/>
    <row r="151" customFormat="1" ht="15.75" customHeight="1"/>
    <row r="152" customFormat="1" ht="15.75" customHeight="1"/>
    <row r="153" customFormat="1" ht="15.75" customHeight="1"/>
    <row r="154" customFormat="1" ht="15.75" customHeight="1"/>
    <row r="155" customFormat="1" ht="15.75" customHeight="1"/>
    <row r="156" customFormat="1" ht="15.75" customHeight="1"/>
    <row r="157" customFormat="1" ht="15.75" customHeight="1"/>
    <row r="158" customFormat="1" ht="15.75" customHeight="1"/>
    <row r="159" customFormat="1" ht="15.75" customHeight="1"/>
    <row r="160" customFormat="1" ht="15.75" customHeight="1"/>
    <row r="161" customFormat="1" ht="15.75" customHeight="1"/>
    <row r="162" customFormat="1" ht="15.75" customHeight="1"/>
    <row r="163" customFormat="1" ht="15.75" customHeight="1"/>
    <row r="164" customFormat="1" ht="15.75" customHeight="1"/>
    <row r="165" customFormat="1" ht="15.75" customHeight="1"/>
    <row r="166" customFormat="1" ht="15.75" customHeight="1"/>
    <row r="167" customFormat="1" ht="15.75" customHeight="1"/>
    <row r="168" customFormat="1" ht="15.75" customHeight="1"/>
    <row r="169" customFormat="1" ht="15.75" customHeight="1"/>
    <row r="170" customFormat="1" ht="15.75" customHeight="1"/>
    <row r="171" customFormat="1" ht="15.75" customHeight="1"/>
    <row r="172" customFormat="1" ht="15.75" customHeight="1"/>
    <row r="173" customFormat="1" ht="15.75" customHeight="1"/>
    <row r="174" customFormat="1" ht="15.75" customHeight="1"/>
    <row r="175" customFormat="1" ht="15.75" customHeight="1"/>
    <row r="176" customFormat="1" ht="15.75" customHeight="1"/>
    <row r="177" customFormat="1" ht="15.75" customHeight="1"/>
    <row r="178" customFormat="1" ht="15.75" customHeight="1"/>
    <row r="179" customFormat="1" ht="15.75" customHeight="1"/>
    <row r="180" customFormat="1" ht="15.75" customHeight="1"/>
    <row r="181" customFormat="1" ht="15.75" customHeight="1"/>
    <row r="182" customFormat="1" ht="15.75" customHeight="1"/>
    <row r="183" customFormat="1" ht="15.75" customHeight="1"/>
    <row r="184" customFormat="1" ht="15.75" customHeight="1"/>
    <row r="185" customFormat="1" ht="15.75" customHeight="1"/>
    <row r="186" customFormat="1" ht="15.75" customHeight="1"/>
    <row r="187" customFormat="1" ht="15.75" customHeight="1"/>
    <row r="188" customFormat="1" ht="15.75" customHeight="1"/>
    <row r="189" customFormat="1" ht="15.75" customHeight="1"/>
    <row r="190" customFormat="1" ht="15.75" customHeight="1"/>
    <row r="191" customFormat="1" ht="15.75" customHeight="1"/>
    <row r="192" customFormat="1" ht="15.75" customHeight="1"/>
    <row r="193" customFormat="1" ht="15.75" customHeight="1"/>
    <row r="194" customFormat="1" ht="15.75" customHeight="1"/>
    <row r="195" customFormat="1" ht="15.75" customHeight="1"/>
    <row r="196" customFormat="1" ht="15.75" customHeight="1"/>
    <row r="197" customFormat="1" ht="15.75" customHeight="1"/>
    <row r="198" customFormat="1" ht="15.75" customHeight="1"/>
    <row r="199" customFormat="1" ht="15.75" customHeight="1"/>
    <row r="200" customFormat="1" ht="15.75" customHeight="1"/>
    <row r="201" customFormat="1" ht="15.75" customHeight="1"/>
    <row r="202" customFormat="1" ht="15.75" customHeight="1"/>
    <row r="203" customFormat="1" ht="15.75" customHeight="1"/>
    <row r="204" customFormat="1" ht="15.75" customHeight="1"/>
    <row r="205" customFormat="1" ht="15.75" customHeight="1"/>
    <row r="206" customFormat="1" ht="15.75" customHeight="1"/>
    <row r="207" customFormat="1" ht="15.75" customHeight="1"/>
    <row r="208" customFormat="1" ht="15.75" customHeight="1"/>
    <row r="209" customFormat="1" ht="15.75" customHeight="1"/>
    <row r="210" customFormat="1" ht="15.75" customHeight="1"/>
    <row r="211" customFormat="1" ht="15.75" customHeight="1"/>
    <row r="212" customFormat="1" ht="15.75" customHeight="1"/>
    <row r="213" customFormat="1" ht="15.75" customHeight="1"/>
    <row r="214" customFormat="1" ht="15.75" customHeight="1"/>
    <row r="215" customFormat="1" ht="15.75" customHeight="1"/>
    <row r="216" customFormat="1" ht="15.75" customHeight="1"/>
    <row r="217" customFormat="1" ht="15.75" customHeight="1"/>
    <row r="218" customFormat="1" ht="15.75" customHeight="1"/>
    <row r="219" customFormat="1" ht="15.75" customHeight="1"/>
    <row r="220" customFormat="1" ht="15.75" customHeight="1"/>
    <row r="221" customFormat="1" ht="15.75" customHeight="1"/>
    <row r="222" customFormat="1" ht="15.75" customHeight="1"/>
    <row r="223" customFormat="1" ht="15.75" customHeight="1"/>
    <row r="224" customFormat="1" ht="15.75" customHeight="1"/>
    <row r="225" customFormat="1" ht="15.75" customHeight="1"/>
    <row r="226" customFormat="1" ht="15.75" customHeight="1"/>
    <row r="227" customFormat="1" ht="15.75" customHeight="1"/>
    <row r="228" customFormat="1" ht="15.75" customHeight="1"/>
    <row r="229" customFormat="1" ht="15.75" customHeight="1"/>
    <row r="230" customFormat="1" ht="15.75" customHeight="1"/>
    <row r="231" customFormat="1" ht="15.75" customHeight="1"/>
    <row r="232" customFormat="1" ht="15.75" customHeight="1"/>
    <row r="233" customFormat="1" ht="15.75" customHeight="1"/>
    <row r="234" customFormat="1" ht="15.75" customHeight="1"/>
    <row r="235" customFormat="1" ht="15.75" customHeight="1"/>
    <row r="236" customFormat="1" ht="15.75" customHeight="1"/>
    <row r="237" customFormat="1" ht="15.75" customHeight="1"/>
    <row r="238" customFormat="1" ht="15.75" customHeight="1"/>
    <row r="239" customFormat="1" ht="15.75" customHeight="1"/>
    <row r="240" customFormat="1" ht="15.75" customHeight="1"/>
    <row r="241" customFormat="1" ht="15.75" customHeight="1"/>
    <row r="242" customFormat="1" ht="15.75" customHeight="1"/>
    <row r="243" customFormat="1" ht="15.75" customHeight="1"/>
    <row r="244" customFormat="1" ht="15.75" customHeight="1"/>
    <row r="245" customFormat="1" ht="15.75" customHeight="1"/>
    <row r="246" customFormat="1" ht="15.75" customHeight="1"/>
    <row r="247" customFormat="1" ht="15.75" customHeight="1"/>
    <row r="248" customFormat="1" ht="15.75" customHeight="1"/>
    <row r="249" customFormat="1" ht="15.75" customHeight="1"/>
    <row r="250" customFormat="1" ht="15.75" customHeight="1"/>
    <row r="251" customFormat="1" ht="15.75" customHeight="1"/>
    <row r="252" customFormat="1" ht="15.75" customHeight="1"/>
    <row r="253" customFormat="1" ht="15.75" customHeight="1"/>
    <row r="254" customFormat="1" ht="15.75" customHeight="1"/>
    <row r="255" customFormat="1" ht="15.75" customHeight="1"/>
    <row r="256" customFormat="1" ht="15.75" customHeight="1"/>
    <row r="257" customFormat="1" ht="15.75" customHeight="1"/>
    <row r="258" customFormat="1" ht="15.75" customHeight="1"/>
    <row r="259" customFormat="1" ht="15.75" customHeight="1"/>
    <row r="260" customFormat="1" ht="15.75" customHeight="1"/>
    <row r="261" customFormat="1" ht="15.75" customHeight="1"/>
    <row r="262" customFormat="1" ht="15.75" customHeight="1"/>
    <row r="263" customFormat="1" ht="15.75" customHeight="1"/>
    <row r="264" customFormat="1" ht="15.75" customHeight="1"/>
    <row r="265" customFormat="1" ht="15.75" customHeight="1"/>
    <row r="266" customFormat="1" ht="15.75" customHeight="1"/>
    <row r="267" customFormat="1" ht="15.75" customHeight="1"/>
    <row r="268" customFormat="1" ht="15.75" customHeight="1"/>
    <row r="269" customFormat="1" ht="15.75" customHeight="1"/>
    <row r="270" customFormat="1" ht="15.75" customHeight="1"/>
    <row r="271" customFormat="1" ht="15.75" customHeight="1"/>
    <row r="272" customFormat="1" ht="15.75" customHeight="1"/>
    <row r="273" customFormat="1" ht="15.75" customHeight="1"/>
    <row r="274" customFormat="1" ht="15.75" customHeight="1"/>
    <row r="275" customFormat="1" ht="15.75" customHeight="1"/>
    <row r="276" customFormat="1" ht="15.75" customHeight="1"/>
    <row r="277" customFormat="1" ht="15.75" customHeight="1"/>
    <row r="278" customFormat="1" ht="15.75" customHeight="1"/>
    <row r="279" customFormat="1" ht="15.75" customHeight="1"/>
    <row r="280" customFormat="1" ht="15.75" customHeight="1"/>
    <row r="281" customFormat="1" ht="15.75" customHeight="1"/>
    <row r="282" customFormat="1" ht="15.75" customHeight="1"/>
    <row r="283" customFormat="1" ht="15.75" customHeight="1"/>
    <row r="284" customFormat="1" ht="15.75" customHeight="1"/>
    <row r="285" customFormat="1" ht="15.75" customHeight="1"/>
    <row r="286" customFormat="1" ht="15.75" customHeight="1"/>
    <row r="287" customFormat="1" ht="15.75" customHeight="1"/>
    <row r="288" customFormat="1" ht="15.75" customHeight="1"/>
    <row r="289" customFormat="1" ht="15.75" customHeight="1"/>
    <row r="290" customFormat="1" ht="15.75" customHeight="1"/>
    <row r="291" customFormat="1" ht="15.75" customHeight="1"/>
    <row r="292" customFormat="1" ht="15.75" customHeight="1"/>
    <row r="293" customFormat="1" ht="15.75" customHeight="1"/>
    <row r="294" customFormat="1" ht="15.75" customHeight="1"/>
    <row r="295" customFormat="1" ht="15.75" customHeight="1"/>
    <row r="296" customFormat="1" ht="15.75" customHeight="1"/>
    <row r="297" customFormat="1" ht="15.75" customHeight="1"/>
    <row r="298" customFormat="1" ht="15.75" customHeight="1"/>
    <row r="299" customFormat="1" ht="15.75" customHeight="1"/>
    <row r="300" customFormat="1" ht="15.75" customHeight="1"/>
    <row r="301" customFormat="1" ht="15.75" customHeight="1"/>
    <row r="302" customFormat="1" ht="15.75" customHeight="1"/>
    <row r="303" customFormat="1" ht="15.75" customHeight="1"/>
    <row r="304" customFormat="1" ht="15.75" customHeight="1"/>
    <row r="305" customFormat="1" ht="15.75" customHeight="1"/>
    <row r="306" customFormat="1" ht="15.75" customHeight="1"/>
    <row r="307" customFormat="1" ht="15.75" customHeight="1"/>
    <row r="308" customFormat="1" ht="15.75" customHeight="1"/>
    <row r="309" customFormat="1" ht="15.75" customHeight="1"/>
    <row r="310" customFormat="1" ht="15.75" customHeight="1"/>
    <row r="311" customFormat="1" ht="15.75" customHeight="1"/>
    <row r="312" customFormat="1" ht="15.75" customHeight="1"/>
    <row r="313" customFormat="1" ht="15.75" customHeight="1"/>
    <row r="314" customFormat="1" ht="15.75" customHeight="1"/>
    <row r="315" customFormat="1" ht="15.75" customHeight="1"/>
    <row r="316" customFormat="1" ht="15.75" customHeight="1"/>
    <row r="317" customFormat="1" ht="15.75" customHeight="1"/>
    <row r="318" customFormat="1" ht="15.75" customHeight="1"/>
    <row r="319" customFormat="1" ht="15.75" customHeight="1"/>
    <row r="320" customFormat="1" ht="15.75" customHeight="1"/>
    <row r="321" customFormat="1" ht="15.75" customHeight="1"/>
    <row r="322" customFormat="1" ht="15.75" customHeight="1"/>
    <row r="323" customFormat="1" ht="15.75" customHeight="1"/>
    <row r="324" customFormat="1" ht="15.75" customHeight="1"/>
    <row r="325" customFormat="1" ht="15.75" customHeight="1"/>
    <row r="326" customFormat="1" ht="15.75" customHeight="1"/>
    <row r="327" customFormat="1" ht="15.75" customHeight="1"/>
    <row r="328" customFormat="1" ht="15.75" customHeight="1"/>
    <row r="329" customFormat="1" ht="15.75" customHeight="1"/>
    <row r="330" customFormat="1" ht="15.75" customHeight="1"/>
    <row r="331" customFormat="1" ht="15.75" customHeight="1"/>
    <row r="332" customFormat="1" ht="15.75" customHeight="1"/>
    <row r="333" customFormat="1" ht="15.75" customHeight="1"/>
    <row r="334" customFormat="1" ht="15.75" customHeight="1"/>
    <row r="335" customFormat="1" ht="15.75" customHeight="1"/>
    <row r="336" customFormat="1" ht="15.75" customHeight="1"/>
    <row r="337" customFormat="1" ht="15.75" customHeight="1"/>
    <row r="338" customFormat="1" ht="15.75" customHeight="1"/>
    <row r="339" customFormat="1" ht="15.75" customHeight="1"/>
    <row r="340" customFormat="1" ht="15.75" customHeight="1"/>
    <row r="341" customFormat="1" ht="15.75" customHeight="1"/>
    <row r="342" customFormat="1" ht="15.75" customHeight="1"/>
    <row r="343" customFormat="1" ht="15.75" customHeight="1"/>
    <row r="344" customFormat="1" ht="15.75" customHeight="1"/>
    <row r="345" customFormat="1" ht="15.75" customHeight="1"/>
    <row r="346" customFormat="1" ht="15.75" customHeight="1"/>
    <row r="347" customFormat="1" ht="15.75" customHeight="1"/>
    <row r="348" customFormat="1" ht="15.75" customHeight="1"/>
    <row r="349" customFormat="1" ht="15.75" customHeight="1"/>
    <row r="350" customFormat="1" ht="15.75" customHeight="1"/>
    <row r="351" customFormat="1" ht="15.75" customHeight="1"/>
    <row r="352" customFormat="1" ht="15.75" customHeight="1"/>
    <row r="353" customFormat="1" ht="15.75" customHeight="1"/>
    <row r="354" customFormat="1" ht="15.75" customHeight="1"/>
    <row r="355" customFormat="1" ht="15.75" customHeight="1"/>
    <row r="356" customFormat="1" ht="15.75" customHeight="1"/>
    <row r="357" customFormat="1" ht="15.75" customHeight="1"/>
    <row r="358" customFormat="1" ht="15.75" customHeight="1"/>
    <row r="359" customFormat="1" ht="15.75" customHeight="1"/>
    <row r="360" customFormat="1" ht="15.75" customHeight="1"/>
    <row r="361" customFormat="1" ht="15.75" customHeight="1"/>
    <row r="362" customFormat="1" ht="15.75" customHeight="1"/>
    <row r="363" customFormat="1" ht="15.75" customHeight="1"/>
    <row r="364" customFormat="1" ht="15.75" customHeight="1"/>
    <row r="365" customFormat="1" ht="15.75" customHeight="1"/>
    <row r="366" customFormat="1" ht="15.75" customHeight="1"/>
    <row r="367" customFormat="1" ht="15.75" customHeight="1"/>
    <row r="368" customFormat="1" ht="15.75" customHeight="1"/>
    <row r="369" customFormat="1" ht="15.75" customHeight="1"/>
    <row r="370" customFormat="1" ht="15.75" customHeight="1"/>
    <row r="371" customFormat="1" ht="15.75" customHeight="1"/>
    <row r="372" customFormat="1" ht="15.75" customHeight="1"/>
    <row r="373" customFormat="1" ht="15.75" customHeight="1"/>
    <row r="374" customFormat="1" ht="15.75" customHeight="1"/>
    <row r="375" customFormat="1" ht="15.75" customHeight="1"/>
    <row r="376" customFormat="1" ht="15.75" customHeight="1"/>
    <row r="377" customFormat="1" ht="15.75" customHeight="1"/>
    <row r="378" customFormat="1" ht="15.75" customHeight="1"/>
    <row r="379" customFormat="1" ht="15.75" customHeight="1"/>
    <row r="380" customFormat="1" ht="15.75" customHeight="1"/>
    <row r="381" customFormat="1" ht="15.75" customHeight="1"/>
    <row r="382" customFormat="1" ht="15.75" customHeight="1"/>
    <row r="383" customFormat="1" ht="15.75" customHeight="1"/>
    <row r="384" customFormat="1" ht="15.75" customHeight="1"/>
    <row r="385" customFormat="1" ht="15.75" customHeight="1"/>
    <row r="386" customFormat="1" ht="15.75" customHeight="1"/>
    <row r="387" customFormat="1" ht="15.75" customHeight="1"/>
    <row r="388" customFormat="1" ht="15.75" customHeight="1"/>
    <row r="389" customFormat="1" ht="15.75" customHeight="1"/>
    <row r="390" customFormat="1" ht="15.75" customHeight="1"/>
    <row r="391" customFormat="1" ht="15.75" customHeight="1"/>
    <row r="392" customFormat="1" ht="15.75" customHeight="1"/>
    <row r="393" customFormat="1" ht="15.75" customHeight="1"/>
    <row r="394" customFormat="1" ht="15.75" customHeight="1"/>
    <row r="395" customFormat="1" ht="15.75" customHeight="1"/>
    <row r="396" customFormat="1" ht="15.75" customHeight="1"/>
    <row r="397" customFormat="1" ht="15.75" customHeight="1"/>
    <row r="398" customFormat="1" ht="15.75" customHeight="1"/>
    <row r="399" customFormat="1" ht="15.75" customHeight="1"/>
    <row r="400" customFormat="1" ht="15.75" customHeight="1"/>
    <row r="401" customFormat="1" ht="15.75" customHeight="1"/>
    <row r="402" customFormat="1" ht="15.75" customHeight="1"/>
    <row r="403" customFormat="1" ht="15.75" customHeight="1"/>
    <row r="404" customFormat="1" ht="15.75" customHeight="1"/>
    <row r="405" customFormat="1" ht="15.75" customHeight="1"/>
    <row r="406" customFormat="1" ht="15.75" customHeight="1"/>
    <row r="407" customFormat="1" ht="15.75" customHeight="1"/>
    <row r="408" customFormat="1" ht="15.75" customHeight="1"/>
    <row r="409" customFormat="1" ht="15.75" customHeight="1"/>
    <row r="410" customFormat="1" ht="15.75" customHeight="1"/>
    <row r="411" customFormat="1" ht="15.75" customHeight="1"/>
    <row r="412" customFormat="1" ht="15.75" customHeight="1"/>
    <row r="413" customFormat="1" ht="15.75" customHeight="1"/>
    <row r="414" customFormat="1" ht="15.75" customHeight="1"/>
    <row r="415" customFormat="1" ht="15.75" customHeight="1"/>
    <row r="416" customFormat="1" ht="15.75" customHeight="1"/>
    <row r="417" customFormat="1" ht="15.75" customHeight="1"/>
    <row r="418" customFormat="1" ht="15.75" customHeight="1"/>
    <row r="419" customFormat="1" ht="15.75" customHeight="1"/>
    <row r="420" customFormat="1" ht="15.75" customHeight="1"/>
    <row r="421" customFormat="1" ht="15.75" customHeight="1"/>
    <row r="422" customFormat="1" ht="15.75" customHeight="1"/>
    <row r="423" customFormat="1" ht="15.75" customHeight="1"/>
    <row r="424" customFormat="1" ht="15.75" customHeight="1"/>
    <row r="425" customFormat="1" ht="15.75" customHeight="1"/>
    <row r="426" customFormat="1" ht="15.75" customHeight="1"/>
    <row r="427" customFormat="1" ht="15.75" customHeight="1"/>
    <row r="428" customFormat="1" ht="15.75" customHeight="1"/>
    <row r="429" customFormat="1" ht="15.75" customHeight="1"/>
    <row r="430" customFormat="1" ht="15.75" customHeight="1"/>
    <row r="431" customFormat="1" ht="15.75" customHeight="1"/>
    <row r="432" customFormat="1" ht="15.75" customHeight="1"/>
    <row r="433" customFormat="1" ht="15.75" customHeight="1"/>
    <row r="434" customFormat="1" ht="15.75" customHeight="1"/>
    <row r="435" customFormat="1" ht="15.75" customHeight="1"/>
    <row r="436" customFormat="1" ht="15.75" customHeight="1"/>
    <row r="437" customFormat="1" ht="15.75" customHeight="1"/>
    <row r="438" customFormat="1" ht="15.75" customHeight="1"/>
    <row r="439" customFormat="1" ht="15.75" customHeight="1"/>
    <row r="440" customFormat="1" ht="15.75" customHeight="1"/>
    <row r="441" customFormat="1" ht="15.75" customHeight="1"/>
    <row r="442" customFormat="1" ht="15.75" customHeight="1"/>
    <row r="443" customFormat="1" ht="15.75" customHeight="1"/>
    <row r="444" customFormat="1" ht="15.75" customHeight="1"/>
    <row r="445" customFormat="1" ht="15.75" customHeight="1"/>
    <row r="446" customFormat="1" ht="15.75" customHeight="1"/>
    <row r="447" customFormat="1" ht="15.75" customHeight="1"/>
    <row r="448" customFormat="1" ht="15.75" customHeight="1"/>
    <row r="449" customFormat="1" ht="15.75" customHeight="1"/>
    <row r="450" customFormat="1" ht="15.75" customHeight="1"/>
    <row r="451" customFormat="1" ht="15.75" customHeight="1"/>
    <row r="452" customFormat="1" ht="15.75" customHeight="1"/>
    <row r="453" customFormat="1" ht="15.75" customHeight="1"/>
    <row r="454" customFormat="1" ht="15.75" customHeight="1"/>
    <row r="455" customFormat="1" ht="15.75" customHeight="1"/>
    <row r="456" customFormat="1" ht="15.75" customHeight="1"/>
    <row r="457" customFormat="1" ht="15.75" customHeight="1"/>
    <row r="458" customFormat="1" ht="15.75" customHeight="1"/>
    <row r="459" customFormat="1" ht="15.75" customHeight="1"/>
    <row r="460" customFormat="1" ht="15.75" customHeight="1"/>
    <row r="461" customFormat="1" ht="15.75" customHeight="1"/>
    <row r="462" customFormat="1" ht="15.75" customHeight="1"/>
    <row r="463" customFormat="1" ht="15.75" customHeight="1"/>
    <row r="464" customFormat="1" ht="15.75" customHeight="1"/>
    <row r="465" customFormat="1" ht="15.75" customHeight="1"/>
    <row r="466" customFormat="1" ht="15.75" customHeight="1"/>
    <row r="467" customFormat="1" ht="15.75" customHeight="1"/>
    <row r="468" customFormat="1" ht="15.75" customHeight="1"/>
    <row r="469" customFormat="1" ht="15.75" customHeight="1"/>
    <row r="470" customFormat="1" ht="15.75" customHeight="1"/>
    <row r="471" customFormat="1" ht="15.75" customHeight="1"/>
    <row r="472" customFormat="1" ht="15.75" customHeight="1"/>
    <row r="473" customFormat="1" ht="15.75" customHeight="1"/>
    <row r="474" customFormat="1" ht="15.75" customHeight="1"/>
    <row r="475" customFormat="1" ht="15.75" customHeight="1"/>
    <row r="476" customFormat="1" ht="15.75" customHeight="1"/>
    <row r="477" customFormat="1" ht="15.75" customHeight="1"/>
    <row r="478" customFormat="1" ht="15.75" customHeight="1"/>
    <row r="479" customFormat="1" ht="15.75" customHeight="1"/>
    <row r="480" customFormat="1" ht="15.75" customHeight="1"/>
    <row r="481" customFormat="1" ht="15.75" customHeight="1"/>
    <row r="482" customFormat="1" ht="15.75" customHeight="1"/>
    <row r="483" customFormat="1" ht="15.75" customHeight="1"/>
    <row r="484" customFormat="1" ht="15.75" customHeight="1"/>
    <row r="485" customFormat="1" ht="15.75" customHeight="1"/>
    <row r="486" customFormat="1" ht="15.75" customHeight="1"/>
    <row r="487" customFormat="1" ht="15.75" customHeight="1"/>
    <row r="488" customFormat="1" ht="15.75" customHeight="1"/>
    <row r="489" customFormat="1" ht="15.75" customHeight="1"/>
    <row r="490" customFormat="1" ht="15.75" customHeight="1"/>
    <row r="491" customFormat="1" ht="15.75" customHeight="1"/>
    <row r="492" customFormat="1" ht="15.75" customHeight="1"/>
    <row r="493" customFormat="1" ht="15.75" customHeight="1"/>
    <row r="494" customFormat="1" ht="15.75" customHeight="1"/>
    <row r="495" customFormat="1" ht="15.75" customHeight="1"/>
    <row r="496" customFormat="1" ht="15.75" customHeight="1"/>
    <row r="497" customFormat="1" ht="15.75" customHeight="1"/>
    <row r="498" customFormat="1" ht="15.75" customHeight="1"/>
    <row r="499" customFormat="1" ht="15.75" customHeight="1"/>
    <row r="500" customFormat="1" ht="15.75" customHeight="1"/>
    <row r="501" customFormat="1" ht="15.75" customHeight="1"/>
    <row r="502" customFormat="1" ht="15.75" customHeight="1"/>
    <row r="503" customFormat="1" ht="15.75" customHeight="1"/>
    <row r="504" customFormat="1" ht="15.75" customHeight="1"/>
    <row r="505" customFormat="1" ht="15.75" customHeight="1"/>
    <row r="506" customFormat="1" ht="15.75" customHeight="1"/>
    <row r="507" customFormat="1" ht="15.75" customHeight="1"/>
    <row r="508" customFormat="1" ht="15.75" customHeight="1"/>
    <row r="509" customFormat="1" ht="15.75" customHeight="1"/>
    <row r="510" customFormat="1" ht="15.75" customHeight="1"/>
    <row r="511" customFormat="1" ht="15.75" customHeight="1"/>
    <row r="512" customFormat="1" ht="15.75" customHeight="1"/>
    <row r="513" customFormat="1" ht="15.75" customHeight="1"/>
    <row r="514" customFormat="1" ht="15.75" customHeight="1"/>
    <row r="515" customFormat="1" ht="15.75" customHeight="1"/>
    <row r="516" customFormat="1" ht="15.75" customHeight="1"/>
    <row r="517" customFormat="1" ht="15.75" customHeight="1"/>
    <row r="518" customFormat="1" ht="15.75" customHeight="1"/>
    <row r="519" customFormat="1" ht="15.75" customHeight="1"/>
    <row r="520" customFormat="1" ht="15.75" customHeight="1"/>
    <row r="521" customFormat="1" ht="15.75" customHeight="1"/>
    <row r="522" customFormat="1" ht="15.75" customHeight="1"/>
    <row r="523" customFormat="1" ht="15.75" customHeight="1"/>
    <row r="524" customFormat="1" ht="15.75" customHeight="1"/>
    <row r="525" customFormat="1" ht="15.75" customHeight="1"/>
    <row r="526" customFormat="1" ht="15.75" customHeight="1"/>
    <row r="527" customFormat="1" ht="15.75" customHeight="1"/>
    <row r="528" customFormat="1" ht="15.75" customHeight="1"/>
    <row r="529" customFormat="1" ht="15.75" customHeight="1"/>
    <row r="530" customFormat="1" ht="15.75" customHeight="1"/>
    <row r="531" customFormat="1" ht="15.75" customHeight="1"/>
    <row r="532" customFormat="1" ht="15.75" customHeight="1"/>
    <row r="533" customFormat="1" ht="15.75" customHeight="1"/>
    <row r="534" customFormat="1" ht="15.75" customHeight="1"/>
    <row r="535" customFormat="1" ht="15.75" customHeight="1"/>
    <row r="536" customFormat="1" ht="15.75" customHeight="1"/>
    <row r="537" customFormat="1" ht="15.75" customHeight="1"/>
    <row r="538" customFormat="1" ht="15.75" customHeight="1"/>
    <row r="539" customFormat="1" ht="15.75" customHeight="1"/>
    <row r="540" customFormat="1" ht="15.75" customHeight="1"/>
    <row r="541" customFormat="1" ht="15.75" customHeight="1"/>
    <row r="542" customFormat="1" ht="15.75" customHeight="1"/>
    <row r="543" customFormat="1" ht="15.75" customHeight="1"/>
    <row r="544" customFormat="1" ht="15.75" customHeight="1"/>
    <row r="545" customFormat="1" ht="15.75" customHeight="1"/>
    <row r="546" customFormat="1" ht="15.75" customHeight="1"/>
    <row r="547" customFormat="1" ht="15.75" customHeight="1"/>
    <row r="548" customFormat="1" ht="15.75" customHeight="1"/>
    <row r="549" customFormat="1" ht="15.75" customHeight="1"/>
    <row r="550" customFormat="1" ht="15.75" customHeight="1"/>
    <row r="551" customFormat="1" ht="15.75" customHeight="1"/>
    <row r="552" customFormat="1" ht="15.75" customHeight="1"/>
    <row r="553" customFormat="1" ht="15.75" customHeight="1"/>
    <row r="554" customFormat="1" ht="15.75" customHeight="1"/>
    <row r="555" customFormat="1" ht="15.75" customHeight="1"/>
    <row r="556" customFormat="1" ht="15.75" customHeight="1"/>
    <row r="557" customFormat="1" ht="15.75" customHeight="1"/>
    <row r="558" customFormat="1" ht="15.75" customHeight="1"/>
    <row r="559" customFormat="1" ht="15.75" customHeight="1"/>
    <row r="560" customFormat="1" ht="15.75" customHeight="1"/>
    <row r="561" customFormat="1" ht="15.75" customHeight="1"/>
    <row r="562" customFormat="1" ht="15.75" customHeight="1"/>
    <row r="563" customFormat="1" ht="15.75" customHeight="1"/>
    <row r="564" customFormat="1" ht="15.75" customHeight="1"/>
    <row r="565" customFormat="1" ht="15.75" customHeight="1"/>
    <row r="566" customFormat="1" ht="15.75" customHeight="1"/>
    <row r="567" customFormat="1" ht="15.75" customHeight="1"/>
    <row r="568" customFormat="1" ht="15.75" customHeight="1"/>
    <row r="569" customFormat="1" ht="15.75" customHeight="1"/>
    <row r="570" customFormat="1" ht="15.75" customHeight="1"/>
    <row r="571" customFormat="1" ht="15.75" customHeight="1"/>
    <row r="572" customFormat="1" ht="15.75" customHeight="1"/>
    <row r="573" customFormat="1" ht="15.75" customHeight="1"/>
    <row r="574" customFormat="1" ht="15.75" customHeight="1"/>
    <row r="575" customFormat="1" ht="15.75" customHeight="1"/>
    <row r="576" customFormat="1" ht="15.75" customHeight="1"/>
    <row r="577" customFormat="1" ht="15.75" customHeight="1"/>
    <row r="578" customFormat="1" ht="15.75" customHeight="1"/>
    <row r="579" customFormat="1" ht="15.75" customHeight="1"/>
    <row r="580" customFormat="1" ht="15.75" customHeight="1"/>
    <row r="581" customFormat="1" ht="15.75" customHeight="1"/>
    <row r="582" customFormat="1" ht="15.75" customHeight="1"/>
    <row r="583" customFormat="1" ht="15.75" customHeight="1"/>
    <row r="584" customFormat="1" ht="15.75" customHeight="1"/>
    <row r="585" customFormat="1" ht="15.75" customHeight="1"/>
    <row r="586" customFormat="1" ht="15.75" customHeight="1"/>
    <row r="587" customFormat="1" ht="15.75" customHeight="1"/>
    <row r="588" customFormat="1" ht="15.75" customHeight="1"/>
    <row r="589" customFormat="1" ht="15.75" customHeight="1"/>
    <row r="590" customFormat="1" ht="15.75" customHeight="1"/>
    <row r="591" customFormat="1" ht="15.75" customHeight="1"/>
    <row r="592" customFormat="1" ht="15.75" customHeight="1"/>
    <row r="593" customFormat="1" ht="15.75" customHeight="1"/>
    <row r="594" customFormat="1" ht="15.75" customHeight="1"/>
    <row r="595" customFormat="1" ht="15.75" customHeight="1"/>
    <row r="596" customFormat="1" ht="15.75" customHeight="1"/>
    <row r="597" customFormat="1" ht="15.75" customHeight="1"/>
    <row r="598" customFormat="1" ht="15.75" customHeight="1"/>
    <row r="599" customFormat="1" ht="15.75" customHeight="1"/>
    <row r="600" customFormat="1" ht="15.75" customHeight="1"/>
    <row r="601" customFormat="1" ht="15.75" customHeight="1"/>
    <row r="602" customFormat="1" ht="15.75" customHeight="1"/>
    <row r="603" customFormat="1" ht="15.75" customHeight="1"/>
    <row r="604" customFormat="1" ht="15.75" customHeight="1"/>
    <row r="605" customFormat="1" ht="15.75" customHeight="1"/>
    <row r="606" customFormat="1" ht="15.75" customHeight="1"/>
    <row r="607" customFormat="1" ht="15.75" customHeight="1"/>
    <row r="608" customFormat="1" ht="15.75" customHeight="1"/>
    <row r="609" customFormat="1" ht="15.75" customHeight="1"/>
    <row r="610" customFormat="1" ht="15.75" customHeight="1"/>
    <row r="611" customFormat="1" ht="15.75" customHeight="1"/>
    <row r="612" customFormat="1" ht="15.75" customHeight="1"/>
    <row r="613" customFormat="1" ht="15.75" customHeight="1"/>
    <row r="614" customFormat="1" ht="15.75" customHeight="1"/>
    <row r="615" customFormat="1" ht="15.75" customHeight="1"/>
    <row r="616" customFormat="1" ht="15.75" customHeight="1"/>
    <row r="617" customFormat="1" ht="15.75" customHeight="1"/>
    <row r="618" customFormat="1" ht="15.75" customHeight="1"/>
    <row r="619" customFormat="1" ht="15.75" customHeight="1"/>
    <row r="620" customFormat="1" ht="15.75" customHeight="1"/>
    <row r="621" customFormat="1" ht="15.75" customHeight="1"/>
    <row r="622" customFormat="1" ht="15.75" customHeight="1"/>
    <row r="623" customFormat="1" ht="15.75" customHeight="1"/>
    <row r="624" customFormat="1" ht="15.75" customHeight="1"/>
    <row r="625" customFormat="1" ht="15.75" customHeight="1"/>
    <row r="626" customFormat="1" ht="15.75" customHeight="1"/>
    <row r="627" customFormat="1" ht="15.75" customHeight="1"/>
    <row r="628" customFormat="1" ht="15.75" customHeight="1"/>
    <row r="629" customFormat="1" ht="15.75" customHeight="1"/>
    <row r="630" customFormat="1" ht="15.75" customHeight="1"/>
    <row r="631" customFormat="1" ht="15.75" customHeight="1"/>
    <row r="632" customFormat="1" ht="15.75" customHeight="1"/>
    <row r="633" customFormat="1" ht="15.75" customHeight="1"/>
    <row r="634" customFormat="1" ht="15.75" customHeight="1"/>
    <row r="635" customFormat="1" ht="15.75" customHeight="1"/>
    <row r="636" customFormat="1" ht="15.75" customHeight="1"/>
    <row r="637" customFormat="1" ht="15.75" customHeight="1"/>
    <row r="638" customFormat="1" ht="15.75" customHeight="1"/>
    <row r="639" customFormat="1" ht="15.75" customHeight="1"/>
    <row r="640" customFormat="1"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row r="781" customFormat="1" ht="15.75" customHeight="1"/>
    <row r="782" customFormat="1" ht="15.75" customHeight="1"/>
    <row r="783" customFormat="1" ht="15.75" customHeight="1"/>
    <row r="784" customFormat="1" ht="15.75" customHeight="1"/>
    <row r="785" customFormat="1" ht="15.75" customHeight="1"/>
    <row r="786" customFormat="1" ht="15.75" customHeight="1"/>
    <row r="787" customFormat="1" ht="15.75" customHeight="1"/>
    <row r="788" customFormat="1" ht="15.75" customHeight="1"/>
    <row r="789" customFormat="1" ht="15.75" customHeight="1"/>
    <row r="790" customFormat="1" ht="15.75" customHeight="1"/>
    <row r="791" customFormat="1" ht="15.75" customHeight="1"/>
    <row r="792" customFormat="1" ht="15.75" customHeight="1"/>
    <row r="793" customFormat="1" ht="15.75" customHeight="1"/>
    <row r="794" customFormat="1" ht="15.75" customHeight="1"/>
    <row r="795" customFormat="1" ht="15.75" customHeight="1"/>
    <row r="796" customFormat="1" ht="15.75" customHeight="1"/>
    <row r="797" customFormat="1" ht="15.75" customHeight="1"/>
    <row r="798" customFormat="1" ht="15.75" customHeight="1"/>
    <row r="799" customFormat="1" ht="15.75" customHeight="1"/>
    <row r="800" customFormat="1" ht="15.75" customHeight="1"/>
    <row r="801" customFormat="1" ht="15.75" customHeight="1"/>
    <row r="802" customFormat="1" ht="15.75" customHeight="1"/>
    <row r="803" customFormat="1" ht="15.75" customHeight="1"/>
    <row r="804" customFormat="1" ht="15.75" customHeight="1"/>
    <row r="805" customFormat="1" ht="15.75" customHeight="1"/>
    <row r="806" customFormat="1" ht="15.75" customHeight="1"/>
    <row r="807" customFormat="1" ht="15.75" customHeight="1"/>
    <row r="808" customFormat="1" ht="15.75" customHeight="1"/>
    <row r="809" customFormat="1" ht="15.75" customHeight="1"/>
    <row r="810" customFormat="1" ht="15.75" customHeight="1"/>
    <row r="811" customFormat="1" ht="15.75" customHeight="1"/>
    <row r="812" customFormat="1" ht="15.75" customHeight="1"/>
    <row r="813" customFormat="1" ht="15.75" customHeight="1"/>
    <row r="814" customFormat="1" ht="15.75" customHeight="1"/>
    <row r="815" customFormat="1" ht="15.75" customHeight="1"/>
    <row r="816" customFormat="1" ht="15.75" customHeight="1"/>
    <row r="817" customFormat="1" ht="15.75" customHeight="1"/>
    <row r="818" customFormat="1" ht="15.75" customHeight="1"/>
    <row r="819" customFormat="1" ht="15.75" customHeight="1"/>
    <row r="820" customFormat="1" ht="15.75" customHeight="1"/>
    <row r="821" customFormat="1" ht="15.75" customHeight="1"/>
    <row r="822" customFormat="1" ht="15.75" customHeight="1"/>
    <row r="823" customFormat="1" ht="15.75" customHeight="1"/>
    <row r="824" customFormat="1" ht="15.75" customHeight="1"/>
    <row r="825" customFormat="1" ht="15.75" customHeight="1"/>
    <row r="826" customFormat="1" ht="15.75" customHeight="1"/>
    <row r="827" customFormat="1" ht="15.75" customHeight="1"/>
    <row r="828" customFormat="1" ht="15.75" customHeight="1"/>
    <row r="829" customFormat="1" ht="15.75" customHeight="1"/>
    <row r="830" customFormat="1" ht="15.75" customHeight="1"/>
    <row r="831" customFormat="1" ht="15.75" customHeight="1"/>
    <row r="832" customFormat="1" ht="15.75" customHeight="1"/>
    <row r="833" customFormat="1" ht="15.75" customHeight="1"/>
    <row r="834" customFormat="1" ht="15.75" customHeight="1"/>
    <row r="835" customFormat="1" ht="15.75" customHeight="1"/>
    <row r="836" customFormat="1" ht="15.75" customHeight="1"/>
    <row r="837" customFormat="1" ht="15.75" customHeight="1"/>
    <row r="838" customFormat="1" ht="15.75" customHeight="1"/>
    <row r="839" customFormat="1" ht="15.75" customHeight="1"/>
    <row r="840" customFormat="1" ht="15.75" customHeight="1"/>
    <row r="841" customFormat="1" ht="15.75" customHeight="1"/>
    <row r="842" customFormat="1" ht="15.75" customHeight="1"/>
    <row r="843" customFormat="1" ht="15.75" customHeight="1"/>
    <row r="844" customFormat="1" ht="15.75" customHeight="1"/>
    <row r="845" customFormat="1" ht="15.75" customHeight="1"/>
    <row r="846" customFormat="1" ht="15.75" customHeight="1"/>
    <row r="847" customFormat="1" ht="15.75" customHeight="1"/>
    <row r="848" customFormat="1" ht="15.75" customHeight="1"/>
    <row r="849" customFormat="1" ht="15.75" customHeight="1"/>
    <row r="850" customFormat="1" ht="15.75" customHeight="1"/>
    <row r="851" customFormat="1" ht="15.75" customHeight="1"/>
    <row r="852" customFormat="1" ht="15.75" customHeight="1"/>
    <row r="853" customFormat="1" ht="15.75" customHeight="1"/>
    <row r="854" customFormat="1" ht="15.75" customHeight="1"/>
    <row r="855" customFormat="1" ht="15.75" customHeight="1"/>
    <row r="856" customFormat="1" ht="15.75" customHeight="1"/>
    <row r="857" customFormat="1" ht="15.75" customHeight="1"/>
    <row r="858" customFormat="1" ht="15.75" customHeight="1"/>
    <row r="859" customFormat="1" ht="15.75" customHeight="1"/>
    <row r="860" customFormat="1" ht="15.75" customHeight="1"/>
    <row r="861" customFormat="1" ht="15.75" customHeight="1"/>
    <row r="862" customFormat="1" ht="15.75" customHeight="1"/>
    <row r="863" customFormat="1" ht="15.75" customHeight="1"/>
    <row r="864" customFormat="1" ht="15.75" customHeight="1"/>
    <row r="865" customFormat="1" ht="15.75" customHeight="1"/>
    <row r="866" customFormat="1" ht="15.75" customHeight="1"/>
    <row r="867" customFormat="1" ht="15.75" customHeight="1"/>
    <row r="868" customFormat="1" ht="15.75" customHeight="1"/>
    <row r="869" customFormat="1" ht="15.75" customHeight="1"/>
    <row r="870" customFormat="1" ht="15.75" customHeight="1"/>
    <row r="871" customFormat="1" ht="15.75" customHeight="1"/>
    <row r="872" customFormat="1" ht="15.75" customHeight="1"/>
    <row r="873" customFormat="1" ht="15.75" customHeight="1"/>
    <row r="874" customFormat="1" ht="15.75" customHeight="1"/>
    <row r="875" customFormat="1" ht="15.75" customHeight="1"/>
    <row r="876" customFormat="1" ht="15.75" customHeight="1"/>
    <row r="877" customFormat="1" ht="15.75" customHeight="1"/>
    <row r="878" customFormat="1" ht="15.75" customHeight="1"/>
    <row r="879" customFormat="1" ht="15.75" customHeight="1"/>
    <row r="880" customFormat="1" ht="15.75" customHeight="1"/>
    <row r="881" customFormat="1" ht="15.75" customHeight="1"/>
    <row r="882" customFormat="1" ht="15.75" customHeight="1"/>
    <row r="883" customFormat="1" ht="15.75" customHeight="1"/>
    <row r="884" customFormat="1" ht="15.75" customHeight="1"/>
    <row r="885" customFormat="1" ht="15.75" customHeight="1"/>
    <row r="886" customFormat="1" ht="15.75" customHeight="1"/>
    <row r="887" customFormat="1" ht="15.75" customHeight="1"/>
    <row r="888" customFormat="1" ht="15.75" customHeight="1"/>
    <row r="889" customFormat="1" ht="15.75" customHeight="1"/>
    <row r="890" customFormat="1" ht="15.75" customHeight="1"/>
    <row r="891" customFormat="1" ht="15.75" customHeight="1"/>
    <row r="892" customFormat="1" ht="15.75" customHeight="1"/>
    <row r="893" customFormat="1" ht="15.75" customHeight="1"/>
    <row r="894" customFormat="1" ht="15.75" customHeight="1"/>
    <row r="895" customFormat="1" ht="15.75" customHeight="1"/>
    <row r="896" customFormat="1" ht="15.75" customHeight="1"/>
    <row r="897" customFormat="1" ht="15.75" customHeight="1"/>
    <row r="898" customFormat="1" ht="15.75" customHeight="1"/>
    <row r="899" customFormat="1" ht="15.75" customHeight="1"/>
    <row r="900" customFormat="1" ht="15.75" customHeight="1"/>
    <row r="901" customFormat="1" ht="15.75" customHeight="1"/>
    <row r="902" customFormat="1" ht="15.75" customHeight="1"/>
    <row r="903" customFormat="1" ht="15.75" customHeight="1"/>
    <row r="904" customFormat="1" ht="15.75" customHeight="1"/>
    <row r="905" customFormat="1" ht="15.75" customHeight="1"/>
    <row r="906" customFormat="1" ht="15.75" customHeight="1"/>
    <row r="907" customFormat="1" ht="15.75" customHeight="1"/>
    <row r="908" customFormat="1" ht="15.75" customHeight="1"/>
    <row r="909" customFormat="1" ht="15.75" customHeight="1"/>
    <row r="910" customFormat="1" ht="15.75" customHeight="1"/>
    <row r="911" customFormat="1" ht="15.75" customHeight="1"/>
    <row r="912" customFormat="1" ht="15.75" customHeight="1"/>
    <row r="913" customFormat="1" ht="15.75" customHeight="1"/>
    <row r="914" customFormat="1" ht="15.75" customHeight="1"/>
    <row r="915" customFormat="1" ht="15.75" customHeight="1"/>
    <row r="916" customFormat="1" ht="15.75" customHeight="1"/>
    <row r="917" customFormat="1" ht="15.75" customHeight="1"/>
    <row r="918" customFormat="1" ht="15.75" customHeight="1"/>
    <row r="919" customFormat="1" ht="15.75" customHeight="1"/>
    <row r="920" customFormat="1" ht="15.75" customHeight="1"/>
    <row r="921" customFormat="1" ht="15.75" customHeight="1"/>
    <row r="922" customFormat="1" ht="15.75" customHeight="1"/>
    <row r="923" customFormat="1" ht="15.75" customHeight="1"/>
    <row r="924" customFormat="1" ht="15.75" customHeight="1"/>
    <row r="925" customFormat="1" ht="15.75" customHeight="1"/>
    <row r="926" customFormat="1" ht="15.75" customHeight="1"/>
    <row r="927" customFormat="1" ht="15.75" customHeight="1"/>
    <row r="928" customFormat="1" ht="15.75" customHeight="1"/>
    <row r="929" customFormat="1" ht="15.75" customHeight="1"/>
    <row r="930" customFormat="1" ht="15.75" customHeight="1"/>
    <row r="931" customFormat="1" ht="15.75" customHeight="1"/>
    <row r="932" customFormat="1" ht="15.75" customHeight="1"/>
    <row r="933" customFormat="1" ht="15.75" customHeight="1"/>
    <row r="934" customFormat="1" ht="15.75" customHeight="1"/>
    <row r="935" customFormat="1" ht="15.75" customHeight="1"/>
    <row r="936" customFormat="1" ht="15.75" customHeight="1"/>
    <row r="937" customFormat="1" ht="15.75" customHeight="1"/>
    <row r="938" customFormat="1" ht="15.75" customHeight="1"/>
    <row r="939" customFormat="1" ht="15.75" customHeight="1"/>
    <row r="940" customFormat="1" ht="15.75" customHeight="1"/>
    <row r="941" customFormat="1" ht="15.75" customHeight="1"/>
    <row r="942" customFormat="1" ht="15.75" customHeight="1"/>
    <row r="943" customFormat="1" ht="15.75" customHeight="1"/>
    <row r="944" customFormat="1" ht="15.75" customHeight="1"/>
    <row r="945" customFormat="1" ht="15.75" customHeight="1"/>
    <row r="946" customFormat="1" ht="15.75" customHeight="1"/>
    <row r="947" customFormat="1" ht="15.75" customHeight="1"/>
    <row r="948" customFormat="1" ht="15.75" customHeight="1"/>
    <row r="949" customFormat="1" ht="15.75" customHeight="1"/>
    <row r="950" customFormat="1" ht="15.75" customHeight="1"/>
    <row r="951" customFormat="1" ht="15.75" customHeight="1"/>
    <row r="952" customFormat="1" ht="15.75" customHeight="1"/>
    <row r="953" customFormat="1" ht="15.75" customHeight="1"/>
    <row r="954" customFormat="1" ht="15.75" customHeight="1"/>
    <row r="955" customFormat="1" ht="15.75" customHeight="1"/>
    <row r="956" customFormat="1" ht="15.75" customHeight="1"/>
    <row r="957" customFormat="1" ht="15.75" customHeight="1"/>
    <row r="958" customFormat="1" ht="15.75" customHeight="1"/>
    <row r="959" customFormat="1" ht="15.75" customHeight="1"/>
    <row r="960" customFormat="1" ht="15.75" customHeight="1"/>
    <row r="961" customFormat="1" ht="15.75" customHeight="1"/>
    <row r="962" customFormat="1" ht="15.75" customHeight="1"/>
    <row r="963" customFormat="1" ht="15.75" customHeight="1"/>
    <row r="964" customFormat="1" ht="15.75" customHeight="1"/>
    <row r="965" customFormat="1" ht="15.75" customHeight="1"/>
    <row r="966" customFormat="1" ht="15.75" customHeight="1"/>
    <row r="967" customFormat="1" ht="15.75" customHeight="1"/>
    <row r="968" customFormat="1" ht="15.75" customHeight="1"/>
    <row r="969" customFormat="1" ht="15.75" customHeight="1"/>
    <row r="970" customFormat="1" ht="15.75" customHeight="1"/>
    <row r="971" customFormat="1" ht="15.75" customHeight="1"/>
    <row r="972" customFormat="1" ht="15.75" customHeight="1"/>
    <row r="973" customFormat="1" ht="15.75" customHeight="1"/>
    <row r="974" customFormat="1" ht="15.75" customHeight="1"/>
    <row r="975" customFormat="1" ht="15.75" customHeight="1"/>
    <row r="976" customFormat="1" ht="15.75" customHeight="1"/>
    <row r="977" customFormat="1" ht="15.75" customHeight="1"/>
    <row r="978" customFormat="1" ht="15.75" customHeight="1"/>
    <row r="979" customFormat="1" ht="15.75" customHeight="1"/>
    <row r="980" customFormat="1" ht="15.75" customHeight="1"/>
    <row r="981" customFormat="1" ht="15.75" customHeight="1"/>
    <row r="982" customFormat="1" ht="15.75" customHeight="1"/>
    <row r="983" customFormat="1" ht="15.75" customHeight="1"/>
    <row r="984" customFormat="1" ht="15.75" customHeight="1"/>
    <row r="985" customFormat="1" ht="15.75" customHeight="1"/>
    <row r="986" customFormat="1" ht="15.75" customHeight="1"/>
    <row r="987" customFormat="1" ht="15.75" customHeight="1"/>
    <row r="988" customFormat="1" ht="15.75" customHeight="1"/>
    <row r="989" customFormat="1" ht="15.75" customHeight="1"/>
    <row r="990" customFormat="1" ht="15.75" customHeight="1"/>
    <row r="991" customFormat="1" ht="15.75" customHeight="1"/>
    <row r="992" customFormat="1" ht="15.75" customHeight="1"/>
    <row r="993" customFormat="1" ht="15.75" customHeight="1"/>
    <row r="994" customFormat="1" ht="15.75" customHeight="1"/>
    <row r="995" customFormat="1" ht="15.75" customHeight="1"/>
    <row r="996" customFormat="1" ht="15.75" customHeight="1"/>
    <row r="997" customFormat="1" ht="15.75" customHeight="1"/>
    <row r="998" customFormat="1" ht="15.75" customHeight="1"/>
    <row r="999" customFormat="1" ht="15.75" customHeight="1"/>
    <row r="1000" customFormat="1" ht="15.75" customHeight="1"/>
  </sheetData>
  <mergeCells count="44">
    <mergeCell ref="H30:I30"/>
    <mergeCell ref="J30:K30"/>
    <mergeCell ref="C39:K40"/>
    <mergeCell ref="D53:E53"/>
    <mergeCell ref="F53:G53"/>
    <mergeCell ref="H53:I53"/>
    <mergeCell ref="J53:K53"/>
    <mergeCell ref="D41:K41"/>
    <mergeCell ref="D42:E42"/>
    <mergeCell ref="F42:G42"/>
    <mergeCell ref="H42:I42"/>
    <mergeCell ref="J42:K42"/>
    <mergeCell ref="C50:K51"/>
    <mergeCell ref="D52:K52"/>
    <mergeCell ref="A50:A58"/>
    <mergeCell ref="B50:B51"/>
    <mergeCell ref="E2:E3"/>
    <mergeCell ref="C11:C12"/>
    <mergeCell ref="D11:K11"/>
    <mergeCell ref="D12:E12"/>
    <mergeCell ref="F12:G12"/>
    <mergeCell ref="H12:I12"/>
    <mergeCell ref="J12:K12"/>
    <mergeCell ref="C29:C30"/>
    <mergeCell ref="C41:C42"/>
    <mergeCell ref="C52:C53"/>
    <mergeCell ref="C27:K28"/>
    <mergeCell ref="D29:K29"/>
    <mergeCell ref="D30:E30"/>
    <mergeCell ref="F30:G30"/>
    <mergeCell ref="A11:A24"/>
    <mergeCell ref="A27:A35"/>
    <mergeCell ref="B27:B28"/>
    <mergeCell ref="A39:A47"/>
    <mergeCell ref="B39:B40"/>
    <mergeCell ref="A61:A69"/>
    <mergeCell ref="B61:B62"/>
    <mergeCell ref="C61:K62"/>
    <mergeCell ref="C63:C64"/>
    <mergeCell ref="D63:K63"/>
    <mergeCell ref="D64:E64"/>
    <mergeCell ref="F64:G64"/>
    <mergeCell ref="H64:I64"/>
    <mergeCell ref="J64:K64"/>
  </mergeCells>
  <conditionalFormatting sqref="C4:E7">
    <cfRule type="cellIs" dxfId="3" priority="1" operator="lessThan">
      <formula>4</formula>
    </cfRule>
  </conditionalFormatting>
  <conditionalFormatting sqref="C4:E7">
    <cfRule type="cellIs" dxfId="2" priority="2" operator="lessThan">
      <formula>1</formula>
    </cfRule>
  </conditionalFormatting>
  <dataValidations count="1">
    <dataValidation type="decimal" allowBlank="1" showInputMessage="1" showErrorMessage="1" prompt="Error de Ingreso - Nota debe estar entre 1,0 y 7,0" sqref="C4:E7" xr:uid="{00000000-0002-0000-0200-000000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1000000}">
          <x14:formula1>
            <xm:f>'RELEVANCIA-PUNTAJE'!$B$2:$E$2</xm:f>
          </x14:formula1>
          <xm:sqref>C13:C22 C31:C33 C43:C45 C54:C56 C65:C67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F1000"/>
  <sheetViews>
    <sheetView workbookViewId="0"/>
  </sheetViews>
  <sheetFormatPr baseColWidth="10" defaultColWidth="14.42578125" defaultRowHeight="15" customHeight="1"/>
  <cols>
    <col min="1" max="1" width="39.42578125" customWidth="1"/>
    <col min="2" max="2" width="40.28515625" customWidth="1"/>
    <col min="3" max="3" width="31.7109375" customWidth="1"/>
    <col min="4" max="4" width="38.7109375" customWidth="1"/>
    <col min="5" max="5" width="38.42578125" customWidth="1"/>
    <col min="6" max="26" width="11.42578125" customWidth="1"/>
  </cols>
  <sheetData>
    <row r="2" spans="1:6">
      <c r="A2" s="71" t="s">
        <v>23</v>
      </c>
      <c r="B2" s="74" t="s">
        <v>24</v>
      </c>
      <c r="C2" s="69"/>
      <c r="D2" s="69"/>
      <c r="E2" s="70"/>
      <c r="F2" s="71" t="s">
        <v>25</v>
      </c>
    </row>
    <row r="3" spans="1:6">
      <c r="A3" s="72"/>
      <c r="B3" s="75" t="s">
        <v>26</v>
      </c>
      <c r="C3" s="75" t="s">
        <v>27</v>
      </c>
      <c r="D3" s="27" t="s">
        <v>28</v>
      </c>
      <c r="E3" s="28" t="s">
        <v>14</v>
      </c>
      <c r="F3" s="72"/>
    </row>
    <row r="4" spans="1:6" ht="57" customHeight="1">
      <c r="A4" s="73"/>
      <c r="B4" s="73"/>
      <c r="C4" s="73"/>
      <c r="D4" s="29">
        <v>-0.3</v>
      </c>
      <c r="E4" s="29">
        <v>0</v>
      </c>
      <c r="F4" s="73"/>
    </row>
    <row r="5" spans="1:6" ht="76.5">
      <c r="A5" s="30" t="s">
        <v>29</v>
      </c>
      <c r="B5" s="31" t="s">
        <v>30</v>
      </c>
      <c r="C5" s="31" t="s">
        <v>31</v>
      </c>
      <c r="D5" s="31" t="s">
        <v>32</v>
      </c>
      <c r="E5" s="31" t="s">
        <v>33</v>
      </c>
      <c r="F5" s="32">
        <v>10</v>
      </c>
    </row>
    <row r="6" spans="1:6" ht="76.5">
      <c r="A6" s="33" t="s">
        <v>34</v>
      </c>
      <c r="B6" s="33" t="s">
        <v>35</v>
      </c>
      <c r="C6" s="33" t="s">
        <v>36</v>
      </c>
      <c r="D6" s="33" t="s">
        <v>37</v>
      </c>
      <c r="E6" s="34" t="s">
        <v>38</v>
      </c>
      <c r="F6" s="35">
        <v>5</v>
      </c>
    </row>
    <row r="7" spans="1:6" ht="94.5" customHeight="1">
      <c r="A7" s="36" t="s">
        <v>39</v>
      </c>
      <c r="B7" s="36" t="s">
        <v>40</v>
      </c>
      <c r="C7" s="36" t="s">
        <v>41</v>
      </c>
      <c r="D7" s="36" t="s">
        <v>42</v>
      </c>
      <c r="E7" s="36" t="s">
        <v>43</v>
      </c>
      <c r="F7" s="37">
        <v>10</v>
      </c>
    </row>
    <row r="8" spans="1:6" ht="76.5">
      <c r="A8" s="36" t="s">
        <v>44</v>
      </c>
      <c r="B8" s="36" t="s">
        <v>45</v>
      </c>
      <c r="C8" s="36" t="s">
        <v>46</v>
      </c>
      <c r="D8" s="36" t="s">
        <v>47</v>
      </c>
      <c r="E8" s="36" t="s">
        <v>48</v>
      </c>
      <c r="F8" s="37">
        <v>5</v>
      </c>
    </row>
    <row r="9" spans="1:6" ht="65.25" customHeight="1">
      <c r="A9" s="30" t="s">
        <v>49</v>
      </c>
      <c r="B9" s="31" t="s">
        <v>50</v>
      </c>
      <c r="C9" s="31" t="s">
        <v>51</v>
      </c>
      <c r="D9" s="31" t="s">
        <v>52</v>
      </c>
      <c r="E9" s="31" t="s">
        <v>53</v>
      </c>
      <c r="F9" s="32">
        <v>5</v>
      </c>
    </row>
    <row r="10" spans="1:6" ht="63.75">
      <c r="A10" s="30" t="s">
        <v>54</v>
      </c>
      <c r="B10" s="31" t="s">
        <v>55</v>
      </c>
      <c r="C10" s="31" t="s">
        <v>56</v>
      </c>
      <c r="D10" s="31" t="s">
        <v>57</v>
      </c>
      <c r="E10" s="31" t="s">
        <v>58</v>
      </c>
      <c r="F10" s="32">
        <v>10</v>
      </c>
    </row>
    <row r="11" spans="1:6" ht="76.5">
      <c r="A11" s="33" t="s">
        <v>59</v>
      </c>
      <c r="B11" s="33" t="s">
        <v>60</v>
      </c>
      <c r="C11" s="33" t="s">
        <v>61</v>
      </c>
      <c r="D11" s="33" t="s">
        <v>62</v>
      </c>
      <c r="E11" s="33" t="s">
        <v>63</v>
      </c>
      <c r="F11" s="35">
        <v>10</v>
      </c>
    </row>
    <row r="12" spans="1:6" ht="51">
      <c r="A12" s="38" t="s">
        <v>64</v>
      </c>
      <c r="B12" s="34" t="s">
        <v>65</v>
      </c>
      <c r="C12" s="34" t="s">
        <v>66</v>
      </c>
      <c r="D12" s="34" t="s">
        <v>67</v>
      </c>
      <c r="E12" s="34" t="s">
        <v>68</v>
      </c>
      <c r="F12" s="39">
        <v>5</v>
      </c>
    </row>
    <row r="13" spans="1:6" ht="93.75" customHeight="1">
      <c r="A13" s="36" t="s">
        <v>69</v>
      </c>
      <c r="B13" s="36" t="s">
        <v>70</v>
      </c>
      <c r="C13" s="36" t="s">
        <v>71</v>
      </c>
      <c r="D13" s="36" t="s">
        <v>72</v>
      </c>
      <c r="E13" s="36" t="s">
        <v>73</v>
      </c>
      <c r="F13" s="40">
        <v>5</v>
      </c>
    </row>
    <row r="14" spans="1:6" ht="76.5">
      <c r="A14" s="36" t="s">
        <v>74</v>
      </c>
      <c r="B14" s="36" t="s">
        <v>75</v>
      </c>
      <c r="C14" s="36" t="s">
        <v>76</v>
      </c>
      <c r="D14" s="36" t="s">
        <v>77</v>
      </c>
      <c r="E14" s="36" t="s">
        <v>78</v>
      </c>
      <c r="F14" s="40">
        <v>5</v>
      </c>
    </row>
    <row r="15" spans="1:6" ht="63.75">
      <c r="A15" s="30" t="s">
        <v>79</v>
      </c>
      <c r="B15" s="31" t="s">
        <v>80</v>
      </c>
      <c r="C15" s="31" t="s">
        <v>81</v>
      </c>
      <c r="D15" s="31" t="s">
        <v>82</v>
      </c>
      <c r="E15" s="31" t="s">
        <v>83</v>
      </c>
      <c r="F15" s="32">
        <v>10</v>
      </c>
    </row>
    <row r="16" spans="1:6" ht="76.5">
      <c r="A16" s="30" t="s">
        <v>84</v>
      </c>
      <c r="B16" s="31" t="s">
        <v>85</v>
      </c>
      <c r="C16" s="31" t="s">
        <v>86</v>
      </c>
      <c r="D16" s="31" t="s">
        <v>87</v>
      </c>
      <c r="E16" s="31" t="s">
        <v>88</v>
      </c>
      <c r="F16" s="32">
        <v>10</v>
      </c>
    </row>
    <row r="17" spans="1:6" ht="89.25">
      <c r="A17" s="30" t="s">
        <v>89</v>
      </c>
      <c r="B17" s="31" t="s">
        <v>90</v>
      </c>
      <c r="C17" s="31" t="s">
        <v>91</v>
      </c>
      <c r="D17" s="31" t="s">
        <v>92</v>
      </c>
      <c r="E17" s="31" t="s">
        <v>93</v>
      </c>
      <c r="F17" s="32">
        <v>10</v>
      </c>
    </row>
    <row r="18" spans="1:6">
      <c r="A18" s="68" t="s">
        <v>94</v>
      </c>
      <c r="B18" s="69"/>
      <c r="C18" s="69"/>
      <c r="D18" s="69"/>
      <c r="E18" s="70"/>
      <c r="F18" s="41">
        <v>1</v>
      </c>
    </row>
    <row r="21" spans="1:6" ht="15.75" customHeight="1"/>
    <row r="22" spans="1:6" ht="15.75" customHeight="1"/>
    <row r="23" spans="1:6" ht="15.75" customHeight="1"/>
    <row r="24" spans="1:6" ht="15.75" customHeight="1"/>
    <row r="25" spans="1:6" ht="15.75" customHeight="1"/>
    <row r="26" spans="1:6" ht="15.75" customHeight="1"/>
    <row r="27" spans="1:6" ht="15.75" customHeight="1"/>
    <row r="28" spans="1:6" ht="15.75" customHeight="1"/>
    <row r="29" spans="1:6" ht="15.75" customHeight="1"/>
    <row r="30" spans="1:6" ht="15.75" customHeight="1"/>
    <row r="31" spans="1:6" ht="15.75" customHeight="1"/>
    <row r="32" spans="1:6"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8:E18"/>
    <mergeCell ref="A2:A4"/>
    <mergeCell ref="B2:E2"/>
    <mergeCell ref="F2:F4"/>
    <mergeCell ref="B3:B4"/>
    <mergeCell ref="C3:C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00"/>
  <sheetViews>
    <sheetView workbookViewId="0"/>
  </sheetViews>
  <sheetFormatPr baseColWidth="10" defaultColWidth="14.42578125" defaultRowHeight="15" customHeight="1"/>
  <cols>
    <col min="1" max="6" width="10.7109375" customWidth="1"/>
  </cols>
  <sheetData>
    <row r="1" spans="1:2">
      <c r="A1" s="42" t="s">
        <v>15</v>
      </c>
      <c r="B1" s="42" t="s">
        <v>16</v>
      </c>
    </row>
    <row r="2" spans="1:2">
      <c r="A2" s="42">
        <v>0</v>
      </c>
      <c r="B2" s="43">
        <v>1</v>
      </c>
    </row>
    <row r="3" spans="1:2">
      <c r="A3" s="42">
        <v>0.5</v>
      </c>
      <c r="B3" s="43">
        <v>1</v>
      </c>
    </row>
    <row r="4" spans="1:2">
      <c r="A4" s="42">
        <v>1</v>
      </c>
      <c r="B4" s="43">
        <v>1.1000000000000001</v>
      </c>
    </row>
    <row r="5" spans="1:2">
      <c r="A5" s="42">
        <v>1.5</v>
      </c>
      <c r="B5" s="43">
        <v>1.1000000000000001</v>
      </c>
    </row>
    <row r="6" spans="1:2">
      <c r="A6" s="42">
        <v>2</v>
      </c>
      <c r="B6" s="43">
        <v>1.1000000000000001</v>
      </c>
    </row>
    <row r="7" spans="1:2">
      <c r="A7" s="42">
        <v>2.5</v>
      </c>
      <c r="B7" s="43">
        <v>1.2</v>
      </c>
    </row>
    <row r="8" spans="1:2">
      <c r="A8" s="42">
        <v>3</v>
      </c>
      <c r="B8" s="43">
        <v>1.2</v>
      </c>
    </row>
    <row r="9" spans="1:2">
      <c r="A9" s="42">
        <v>3.5</v>
      </c>
      <c r="B9" s="43">
        <v>1.3</v>
      </c>
    </row>
    <row r="10" spans="1:2">
      <c r="A10" s="42">
        <v>4</v>
      </c>
      <c r="B10" s="43">
        <v>1.3</v>
      </c>
    </row>
    <row r="11" spans="1:2">
      <c r="A11" s="42">
        <v>4.5</v>
      </c>
      <c r="B11" s="43">
        <v>1.3</v>
      </c>
    </row>
    <row r="12" spans="1:2">
      <c r="A12" s="42">
        <v>5</v>
      </c>
      <c r="B12" s="43">
        <v>1.4</v>
      </c>
    </row>
    <row r="13" spans="1:2">
      <c r="A13" s="42">
        <v>5.5</v>
      </c>
      <c r="B13" s="43">
        <v>1.4</v>
      </c>
    </row>
    <row r="14" spans="1:2">
      <c r="A14" s="42">
        <v>6</v>
      </c>
      <c r="B14" s="43">
        <v>1.4</v>
      </c>
    </row>
    <row r="15" spans="1:2">
      <c r="A15" s="42">
        <v>6.5</v>
      </c>
      <c r="B15" s="43">
        <v>1.5</v>
      </c>
    </row>
    <row r="16" spans="1:2">
      <c r="A16" s="42">
        <v>7</v>
      </c>
      <c r="B16" s="43">
        <v>1.5</v>
      </c>
    </row>
    <row r="17" spans="1:2">
      <c r="A17" s="42">
        <v>7.5</v>
      </c>
      <c r="B17" s="43">
        <v>1.5</v>
      </c>
    </row>
    <row r="18" spans="1:2">
      <c r="A18" s="42">
        <v>8</v>
      </c>
      <c r="B18" s="43">
        <v>1.6</v>
      </c>
    </row>
    <row r="19" spans="1:2">
      <c r="A19" s="42">
        <v>8.5</v>
      </c>
      <c r="B19" s="43">
        <v>1.6</v>
      </c>
    </row>
    <row r="20" spans="1:2">
      <c r="A20" s="42">
        <v>9</v>
      </c>
      <c r="B20" s="43">
        <v>1.6</v>
      </c>
    </row>
    <row r="21" spans="1:2" ht="15.75" customHeight="1">
      <c r="A21" s="42">
        <v>9.5</v>
      </c>
      <c r="B21" s="43">
        <v>1.7</v>
      </c>
    </row>
    <row r="22" spans="1:2" ht="15.75" customHeight="1">
      <c r="A22" s="42">
        <v>10</v>
      </c>
      <c r="B22" s="43">
        <v>1.7</v>
      </c>
    </row>
    <row r="23" spans="1:2" ht="15.75" customHeight="1">
      <c r="A23" s="42">
        <v>10.5</v>
      </c>
      <c r="B23" s="43">
        <v>1.8</v>
      </c>
    </row>
    <row r="24" spans="1:2" ht="15.75" customHeight="1">
      <c r="A24" s="42">
        <v>11</v>
      </c>
      <c r="B24" s="43">
        <v>1.8</v>
      </c>
    </row>
    <row r="25" spans="1:2" ht="15.75" customHeight="1">
      <c r="A25" s="42">
        <v>11.5</v>
      </c>
      <c r="B25" s="43">
        <v>1.8</v>
      </c>
    </row>
    <row r="26" spans="1:2" ht="15.75" customHeight="1">
      <c r="A26" s="42">
        <v>12</v>
      </c>
      <c r="B26" s="43">
        <v>1.9</v>
      </c>
    </row>
    <row r="27" spans="1:2" ht="15.75" customHeight="1">
      <c r="A27" s="42">
        <v>12.5</v>
      </c>
      <c r="B27" s="43">
        <v>1.9</v>
      </c>
    </row>
    <row r="28" spans="1:2" ht="15.75" customHeight="1">
      <c r="A28" s="42">
        <v>13</v>
      </c>
      <c r="B28" s="43">
        <v>1.9</v>
      </c>
    </row>
    <row r="29" spans="1:2" ht="15.75" customHeight="1">
      <c r="A29" s="42">
        <v>13.5</v>
      </c>
      <c r="B29" s="43">
        <v>2</v>
      </c>
    </row>
    <row r="30" spans="1:2" ht="15.75" customHeight="1">
      <c r="A30" s="42">
        <v>14</v>
      </c>
      <c r="B30" s="43">
        <v>2</v>
      </c>
    </row>
    <row r="31" spans="1:2" ht="15.75" customHeight="1">
      <c r="A31" s="42">
        <v>14.5</v>
      </c>
      <c r="B31" s="43">
        <v>2</v>
      </c>
    </row>
    <row r="32" spans="1:2" ht="15.75" customHeight="1">
      <c r="A32" s="42">
        <v>15</v>
      </c>
      <c r="B32" s="43">
        <v>2.1</v>
      </c>
    </row>
    <row r="33" spans="1:2" ht="15.75" customHeight="1">
      <c r="A33" s="42">
        <v>15.5</v>
      </c>
      <c r="B33" s="43">
        <v>2.1</v>
      </c>
    </row>
    <row r="34" spans="1:2" ht="15.75" customHeight="1">
      <c r="A34" s="42">
        <v>16</v>
      </c>
      <c r="B34" s="43">
        <v>2.1</v>
      </c>
    </row>
    <row r="35" spans="1:2" ht="15.75" customHeight="1">
      <c r="A35" s="42">
        <v>16.5</v>
      </c>
      <c r="B35" s="43">
        <v>2.2000000000000002</v>
      </c>
    </row>
    <row r="36" spans="1:2" ht="15.75" customHeight="1">
      <c r="A36" s="42">
        <v>17</v>
      </c>
      <c r="B36" s="43">
        <v>2.2000000000000002</v>
      </c>
    </row>
    <row r="37" spans="1:2" ht="15.75" customHeight="1">
      <c r="A37" s="42">
        <v>17.5</v>
      </c>
      <c r="B37" s="43">
        <v>2.2999999999999998</v>
      </c>
    </row>
    <row r="38" spans="1:2" ht="15.75" customHeight="1">
      <c r="A38" s="42">
        <v>18</v>
      </c>
      <c r="B38" s="43">
        <v>2.2999999999999998</v>
      </c>
    </row>
    <row r="39" spans="1:2" ht="15.75" customHeight="1">
      <c r="A39" s="42">
        <v>18.5</v>
      </c>
      <c r="B39" s="43">
        <v>2.2999999999999998</v>
      </c>
    </row>
    <row r="40" spans="1:2" ht="15.75" customHeight="1">
      <c r="A40" s="42">
        <v>19</v>
      </c>
      <c r="B40" s="43">
        <v>2.4</v>
      </c>
    </row>
    <row r="41" spans="1:2" ht="15.75" customHeight="1">
      <c r="A41" s="42">
        <v>19.5</v>
      </c>
      <c r="B41" s="43">
        <v>2.4</v>
      </c>
    </row>
    <row r="42" spans="1:2" ht="15.75" customHeight="1">
      <c r="A42" s="42">
        <v>20</v>
      </c>
      <c r="B42" s="43">
        <v>2.4</v>
      </c>
    </row>
    <row r="43" spans="1:2" ht="15.75" customHeight="1">
      <c r="A43" s="42">
        <v>20.5</v>
      </c>
      <c r="B43" s="43">
        <v>2.5</v>
      </c>
    </row>
    <row r="44" spans="1:2" ht="15.75" customHeight="1">
      <c r="A44" s="42">
        <v>21</v>
      </c>
      <c r="B44" s="43">
        <v>2.5</v>
      </c>
    </row>
    <row r="45" spans="1:2" ht="15.75" customHeight="1">
      <c r="A45" s="42">
        <v>21.5</v>
      </c>
      <c r="B45" s="43">
        <v>2.5</v>
      </c>
    </row>
    <row r="46" spans="1:2" ht="15.75" customHeight="1">
      <c r="A46" s="42">
        <v>22</v>
      </c>
      <c r="B46" s="43">
        <v>2.6</v>
      </c>
    </row>
    <row r="47" spans="1:2" ht="15.75" customHeight="1">
      <c r="A47" s="42">
        <v>22.5</v>
      </c>
      <c r="B47" s="43">
        <v>2.6</v>
      </c>
    </row>
    <row r="48" spans="1:2" ht="15.75" customHeight="1">
      <c r="A48" s="42">
        <v>23</v>
      </c>
      <c r="B48" s="43">
        <v>2.6</v>
      </c>
    </row>
    <row r="49" spans="1:2" ht="15.75" customHeight="1">
      <c r="A49" s="42">
        <v>23.5</v>
      </c>
      <c r="B49" s="43">
        <v>2.7</v>
      </c>
    </row>
    <row r="50" spans="1:2" ht="15.75" customHeight="1">
      <c r="A50" s="42">
        <v>24</v>
      </c>
      <c r="B50" s="43">
        <v>2.7</v>
      </c>
    </row>
    <row r="51" spans="1:2" ht="15.75" customHeight="1">
      <c r="A51" s="42">
        <v>24.5</v>
      </c>
      <c r="B51" s="43">
        <v>2.8</v>
      </c>
    </row>
    <row r="52" spans="1:2" ht="15.75" customHeight="1">
      <c r="A52" s="42">
        <v>25</v>
      </c>
      <c r="B52" s="43">
        <v>2.8</v>
      </c>
    </row>
    <row r="53" spans="1:2" ht="15.75" customHeight="1">
      <c r="A53" s="42">
        <v>25.5</v>
      </c>
      <c r="B53" s="43">
        <v>2.8</v>
      </c>
    </row>
    <row r="54" spans="1:2" ht="15.75" customHeight="1">
      <c r="A54" s="42">
        <v>26</v>
      </c>
      <c r="B54" s="43">
        <v>2.9</v>
      </c>
    </row>
    <row r="55" spans="1:2" ht="15.75" customHeight="1">
      <c r="A55" s="42">
        <v>26.5</v>
      </c>
      <c r="B55" s="43">
        <v>2.9</v>
      </c>
    </row>
    <row r="56" spans="1:2" ht="15.75" customHeight="1">
      <c r="A56" s="42">
        <v>27</v>
      </c>
      <c r="B56" s="43">
        <v>2.9</v>
      </c>
    </row>
    <row r="57" spans="1:2" ht="15.75" customHeight="1">
      <c r="A57" s="42">
        <v>27.5</v>
      </c>
      <c r="B57" s="43">
        <v>3</v>
      </c>
    </row>
    <row r="58" spans="1:2" ht="15.75" customHeight="1">
      <c r="A58" s="42">
        <v>28</v>
      </c>
      <c r="B58" s="43">
        <v>3</v>
      </c>
    </row>
    <row r="59" spans="1:2" ht="15.75" customHeight="1">
      <c r="A59" s="42">
        <v>28.5</v>
      </c>
      <c r="B59" s="43">
        <v>3</v>
      </c>
    </row>
    <row r="60" spans="1:2" ht="15.75" customHeight="1">
      <c r="A60" s="42">
        <v>29</v>
      </c>
      <c r="B60" s="43">
        <v>3.1</v>
      </c>
    </row>
    <row r="61" spans="1:2" ht="15.75" customHeight="1">
      <c r="A61" s="42">
        <v>29.5</v>
      </c>
      <c r="B61" s="43">
        <v>3.1</v>
      </c>
    </row>
    <row r="62" spans="1:2" ht="15.75" customHeight="1">
      <c r="A62" s="42">
        <v>30</v>
      </c>
      <c r="B62" s="43">
        <v>3.1</v>
      </c>
    </row>
    <row r="63" spans="1:2" ht="15.75" customHeight="1">
      <c r="A63" s="42">
        <v>30.5</v>
      </c>
      <c r="B63" s="43">
        <v>3.2</v>
      </c>
    </row>
    <row r="64" spans="1:2" ht="15.75" customHeight="1">
      <c r="A64" s="42">
        <v>31</v>
      </c>
      <c r="B64" s="43">
        <v>3.2</v>
      </c>
    </row>
    <row r="65" spans="1:2" ht="15.75" customHeight="1">
      <c r="A65" s="42">
        <v>31.5</v>
      </c>
      <c r="B65" s="43">
        <v>3.3</v>
      </c>
    </row>
    <row r="66" spans="1:2" ht="15.75" customHeight="1">
      <c r="A66" s="42">
        <v>32</v>
      </c>
      <c r="B66" s="43">
        <v>3.3</v>
      </c>
    </row>
    <row r="67" spans="1:2" ht="15.75" customHeight="1">
      <c r="A67" s="42">
        <v>32.5</v>
      </c>
      <c r="B67" s="43">
        <v>3.3</v>
      </c>
    </row>
    <row r="68" spans="1:2" ht="15.75" customHeight="1">
      <c r="A68" s="42">
        <v>33</v>
      </c>
      <c r="B68" s="43">
        <v>3.4</v>
      </c>
    </row>
    <row r="69" spans="1:2" ht="15.75" customHeight="1">
      <c r="A69" s="42">
        <v>33.5</v>
      </c>
      <c r="B69" s="43">
        <v>3.4</v>
      </c>
    </row>
    <row r="70" spans="1:2" ht="15.75" customHeight="1">
      <c r="A70" s="42">
        <v>34</v>
      </c>
      <c r="B70" s="43">
        <v>3.4</v>
      </c>
    </row>
    <row r="71" spans="1:2" ht="15.75" customHeight="1">
      <c r="A71" s="42">
        <v>34.5</v>
      </c>
      <c r="B71" s="43">
        <v>3.5</v>
      </c>
    </row>
    <row r="72" spans="1:2" ht="15.75" customHeight="1">
      <c r="A72" s="42">
        <v>35</v>
      </c>
      <c r="B72" s="43">
        <v>3.5</v>
      </c>
    </row>
    <row r="73" spans="1:2" ht="15.75" customHeight="1">
      <c r="A73" s="42">
        <v>35.5</v>
      </c>
      <c r="B73" s="43">
        <v>3.5</v>
      </c>
    </row>
    <row r="74" spans="1:2" ht="15.75" customHeight="1">
      <c r="A74" s="42">
        <v>36</v>
      </c>
      <c r="B74" s="43">
        <v>3.6</v>
      </c>
    </row>
    <row r="75" spans="1:2" ht="15.75" customHeight="1">
      <c r="A75" s="42">
        <v>36.5</v>
      </c>
      <c r="B75" s="43">
        <v>3.6</v>
      </c>
    </row>
    <row r="76" spans="1:2" ht="15.75" customHeight="1">
      <c r="A76" s="42">
        <v>37</v>
      </c>
      <c r="B76" s="43">
        <v>3.6</v>
      </c>
    </row>
    <row r="77" spans="1:2" ht="15.75" customHeight="1">
      <c r="A77" s="42">
        <v>37.5</v>
      </c>
      <c r="B77" s="43">
        <v>3.7</v>
      </c>
    </row>
    <row r="78" spans="1:2" ht="15.75" customHeight="1">
      <c r="A78" s="42">
        <v>38</v>
      </c>
      <c r="B78" s="43">
        <v>3.7</v>
      </c>
    </row>
    <row r="79" spans="1:2" ht="15.75" customHeight="1">
      <c r="A79" s="42">
        <v>38.5</v>
      </c>
      <c r="B79" s="43">
        <v>3.8</v>
      </c>
    </row>
    <row r="80" spans="1:2" ht="15.75" customHeight="1">
      <c r="A80" s="42">
        <v>39</v>
      </c>
      <c r="B80" s="43">
        <v>3.8</v>
      </c>
    </row>
    <row r="81" spans="1:2" ht="15.75" customHeight="1">
      <c r="A81" s="42">
        <v>39.5</v>
      </c>
      <c r="B81" s="43">
        <v>3.8</v>
      </c>
    </row>
    <row r="82" spans="1:2" ht="15.75" customHeight="1">
      <c r="A82" s="42">
        <v>40</v>
      </c>
      <c r="B82" s="43">
        <v>3.9</v>
      </c>
    </row>
    <row r="83" spans="1:2" ht="15.75" customHeight="1">
      <c r="A83" s="42">
        <v>40.5</v>
      </c>
      <c r="B83" s="43">
        <v>3.9</v>
      </c>
    </row>
    <row r="84" spans="1:2" ht="15.75" customHeight="1">
      <c r="A84" s="42">
        <v>41</v>
      </c>
      <c r="B84" s="43">
        <v>3.9</v>
      </c>
    </row>
    <row r="85" spans="1:2" ht="15.75" customHeight="1">
      <c r="A85" s="42">
        <v>41.5</v>
      </c>
      <c r="B85" s="43">
        <v>4</v>
      </c>
    </row>
    <row r="86" spans="1:2" ht="15.75" customHeight="1">
      <c r="A86" s="42">
        <v>42</v>
      </c>
      <c r="B86" s="43">
        <v>4</v>
      </c>
    </row>
    <row r="87" spans="1:2" ht="15.75" customHeight="1">
      <c r="A87" s="42">
        <v>42.5</v>
      </c>
      <c r="B87" s="43">
        <v>4.0999999999999996</v>
      </c>
    </row>
    <row r="88" spans="1:2" ht="15.75" customHeight="1">
      <c r="A88" s="42">
        <v>43</v>
      </c>
      <c r="B88" s="43">
        <v>4.0999999999999996</v>
      </c>
    </row>
    <row r="89" spans="1:2" ht="15.75" customHeight="1">
      <c r="A89" s="42">
        <v>43.5</v>
      </c>
      <c r="B89" s="43">
        <v>4.2</v>
      </c>
    </row>
    <row r="90" spans="1:2" ht="15.75" customHeight="1">
      <c r="A90" s="42">
        <v>44</v>
      </c>
      <c r="B90" s="43">
        <v>4.2</v>
      </c>
    </row>
    <row r="91" spans="1:2" ht="15.75" customHeight="1">
      <c r="A91" s="42">
        <v>44.5</v>
      </c>
      <c r="B91" s="43">
        <v>4.3</v>
      </c>
    </row>
    <row r="92" spans="1:2" ht="15.75" customHeight="1">
      <c r="A92" s="42">
        <v>45</v>
      </c>
      <c r="B92" s="43">
        <v>4.3</v>
      </c>
    </row>
    <row r="93" spans="1:2" ht="15.75" customHeight="1">
      <c r="A93" s="42">
        <v>45.5</v>
      </c>
      <c r="B93" s="43">
        <v>4.4000000000000004</v>
      </c>
    </row>
    <row r="94" spans="1:2" ht="15.75" customHeight="1">
      <c r="A94" s="42">
        <v>46</v>
      </c>
      <c r="B94" s="43">
        <v>4.4000000000000004</v>
      </c>
    </row>
    <row r="95" spans="1:2" ht="15.75" customHeight="1">
      <c r="A95" s="42">
        <v>46.5</v>
      </c>
      <c r="B95" s="43">
        <v>4.5</v>
      </c>
    </row>
    <row r="96" spans="1:2" ht="15.75" customHeight="1">
      <c r="A96" s="42">
        <v>47</v>
      </c>
      <c r="B96" s="43">
        <v>4.5</v>
      </c>
    </row>
    <row r="97" spans="1:2" ht="15.75" customHeight="1">
      <c r="A97" s="42">
        <v>47.5</v>
      </c>
      <c r="B97" s="43">
        <v>4.5999999999999996</v>
      </c>
    </row>
    <row r="98" spans="1:2" ht="15.75" customHeight="1">
      <c r="A98" s="42">
        <v>48</v>
      </c>
      <c r="B98" s="43">
        <v>4.5999999999999996</v>
      </c>
    </row>
    <row r="99" spans="1:2" ht="15.75" customHeight="1">
      <c r="A99" s="42">
        <v>48.5</v>
      </c>
      <c r="B99" s="43">
        <v>4.7</v>
      </c>
    </row>
    <row r="100" spans="1:2" ht="15.75" customHeight="1">
      <c r="A100" s="42">
        <v>49</v>
      </c>
      <c r="B100" s="43">
        <v>4.8</v>
      </c>
    </row>
    <row r="101" spans="1:2" ht="15.75" customHeight="1">
      <c r="A101" s="42">
        <v>49.5</v>
      </c>
      <c r="B101" s="43">
        <v>4.8</v>
      </c>
    </row>
    <row r="102" spans="1:2" ht="15.75" customHeight="1">
      <c r="A102" s="42">
        <v>50</v>
      </c>
      <c r="B102" s="43">
        <v>4.9000000000000004</v>
      </c>
    </row>
    <row r="103" spans="1:2" ht="15.75" customHeight="1">
      <c r="A103" s="42">
        <v>50.5</v>
      </c>
      <c r="B103" s="43">
        <v>4.9000000000000004</v>
      </c>
    </row>
    <row r="104" spans="1:2" ht="15.75" customHeight="1">
      <c r="A104" s="42">
        <v>51</v>
      </c>
      <c r="B104" s="43">
        <v>5</v>
      </c>
    </row>
    <row r="105" spans="1:2" ht="15.75" customHeight="1">
      <c r="A105" s="42">
        <v>51.5</v>
      </c>
      <c r="B105" s="43">
        <v>5</v>
      </c>
    </row>
    <row r="106" spans="1:2" ht="15.75" customHeight="1">
      <c r="A106" s="42">
        <v>52</v>
      </c>
      <c r="B106" s="43">
        <v>5.0999999999999996</v>
      </c>
    </row>
    <row r="107" spans="1:2" ht="15.75" customHeight="1">
      <c r="A107" s="42">
        <v>52.5</v>
      </c>
      <c r="B107" s="43">
        <v>5.0999999999999996</v>
      </c>
    </row>
    <row r="108" spans="1:2" ht="15.75" customHeight="1">
      <c r="A108" s="42">
        <v>53</v>
      </c>
      <c r="B108" s="43">
        <v>5.2</v>
      </c>
    </row>
    <row r="109" spans="1:2" ht="15.75" customHeight="1">
      <c r="A109" s="42">
        <v>53.5</v>
      </c>
      <c r="B109" s="43">
        <v>5.2</v>
      </c>
    </row>
    <row r="110" spans="1:2" ht="15.75" customHeight="1">
      <c r="A110" s="42">
        <v>54</v>
      </c>
      <c r="B110" s="43">
        <v>5.3</v>
      </c>
    </row>
    <row r="111" spans="1:2" ht="15.75" customHeight="1">
      <c r="A111" s="42">
        <v>54.5</v>
      </c>
      <c r="B111" s="43">
        <v>5.3</v>
      </c>
    </row>
    <row r="112" spans="1:2" ht="15.75" customHeight="1">
      <c r="A112" s="42">
        <v>55</v>
      </c>
      <c r="B112" s="43">
        <v>5.4</v>
      </c>
    </row>
    <row r="113" spans="1:2" ht="15.75" customHeight="1">
      <c r="A113" s="42">
        <v>55.5</v>
      </c>
      <c r="B113" s="43">
        <v>5.4</v>
      </c>
    </row>
    <row r="114" spans="1:2" ht="15.75" customHeight="1">
      <c r="A114" s="42">
        <v>56</v>
      </c>
      <c r="B114" s="43">
        <v>5.5</v>
      </c>
    </row>
    <row r="115" spans="1:2" ht="15.75" customHeight="1">
      <c r="A115" s="42">
        <v>56.5</v>
      </c>
      <c r="B115" s="43">
        <v>5.6</v>
      </c>
    </row>
    <row r="116" spans="1:2" ht="15.75" customHeight="1">
      <c r="A116" s="42">
        <v>57</v>
      </c>
      <c r="B116" s="43">
        <v>5.6</v>
      </c>
    </row>
    <row r="117" spans="1:2" ht="15.75" customHeight="1">
      <c r="A117" s="42">
        <v>57.5</v>
      </c>
      <c r="B117" s="43">
        <v>5.7</v>
      </c>
    </row>
    <row r="118" spans="1:2" ht="15.75" customHeight="1">
      <c r="A118" s="42">
        <v>58</v>
      </c>
      <c r="B118" s="43">
        <v>5.7</v>
      </c>
    </row>
    <row r="119" spans="1:2" ht="15.75" customHeight="1">
      <c r="A119" s="42">
        <v>58.5</v>
      </c>
      <c r="B119" s="43">
        <v>5.8</v>
      </c>
    </row>
    <row r="120" spans="1:2" ht="15.75" customHeight="1">
      <c r="A120" s="42">
        <v>59</v>
      </c>
      <c r="B120" s="43">
        <v>5.8</v>
      </c>
    </row>
    <row r="121" spans="1:2" ht="15.75" customHeight="1">
      <c r="A121" s="42">
        <v>59.5</v>
      </c>
      <c r="B121" s="43">
        <v>5.9</v>
      </c>
    </row>
    <row r="122" spans="1:2" ht="15.75" customHeight="1">
      <c r="A122" s="42">
        <v>60</v>
      </c>
      <c r="B122" s="43">
        <v>5.9</v>
      </c>
    </row>
    <row r="123" spans="1:2" ht="15.75" customHeight="1">
      <c r="A123" s="42">
        <v>60.5</v>
      </c>
      <c r="B123" s="43">
        <v>6</v>
      </c>
    </row>
    <row r="124" spans="1:2" ht="15.75" customHeight="1">
      <c r="A124" s="42">
        <v>61</v>
      </c>
      <c r="B124" s="43">
        <v>6</v>
      </c>
    </row>
    <row r="125" spans="1:2" ht="15.75" customHeight="1">
      <c r="A125" s="42">
        <v>61.5</v>
      </c>
      <c r="B125" s="43">
        <v>6.1</v>
      </c>
    </row>
    <row r="126" spans="1:2" ht="15.75" customHeight="1">
      <c r="A126" s="42">
        <v>62</v>
      </c>
      <c r="B126" s="43">
        <v>6.1</v>
      </c>
    </row>
    <row r="127" spans="1:2" ht="15.75" customHeight="1">
      <c r="A127" s="42">
        <v>62.5</v>
      </c>
      <c r="B127" s="43">
        <v>6.2</v>
      </c>
    </row>
    <row r="128" spans="1:2" ht="15.75" customHeight="1">
      <c r="A128" s="42">
        <v>63</v>
      </c>
      <c r="B128" s="43">
        <v>6.3</v>
      </c>
    </row>
    <row r="129" spans="1:2" ht="15.75" customHeight="1">
      <c r="A129" s="42">
        <v>63.5</v>
      </c>
      <c r="B129" s="43">
        <v>6.3</v>
      </c>
    </row>
    <row r="130" spans="1:2" ht="15.75" customHeight="1">
      <c r="A130" s="42">
        <v>64</v>
      </c>
      <c r="B130" s="43">
        <v>6.4</v>
      </c>
    </row>
    <row r="131" spans="1:2" ht="15.75" customHeight="1">
      <c r="A131" s="42">
        <v>64.5</v>
      </c>
      <c r="B131" s="43">
        <v>6.4</v>
      </c>
    </row>
    <row r="132" spans="1:2" ht="15.75" customHeight="1">
      <c r="A132" s="42">
        <v>65</v>
      </c>
      <c r="B132" s="43">
        <v>6.5</v>
      </c>
    </row>
    <row r="133" spans="1:2" ht="15.75" customHeight="1">
      <c r="A133" s="42">
        <v>65.5</v>
      </c>
      <c r="B133" s="43">
        <v>6.5</v>
      </c>
    </row>
    <row r="134" spans="1:2" ht="15.75" customHeight="1">
      <c r="A134" s="42">
        <v>66</v>
      </c>
      <c r="B134" s="43">
        <v>6.6</v>
      </c>
    </row>
    <row r="135" spans="1:2" ht="15.75" customHeight="1">
      <c r="A135" s="42">
        <v>66.5</v>
      </c>
      <c r="B135" s="43">
        <v>6.6</v>
      </c>
    </row>
    <row r="136" spans="1:2" ht="15.75" customHeight="1">
      <c r="A136" s="42">
        <v>67</v>
      </c>
      <c r="B136" s="43">
        <v>6.7</v>
      </c>
    </row>
    <row r="137" spans="1:2" ht="15.75" customHeight="1">
      <c r="A137" s="42">
        <v>67.5</v>
      </c>
      <c r="B137" s="43">
        <v>6.7</v>
      </c>
    </row>
    <row r="138" spans="1:2" ht="15.75" customHeight="1">
      <c r="A138" s="42">
        <v>68</v>
      </c>
      <c r="B138" s="43">
        <v>6.8</v>
      </c>
    </row>
    <row r="139" spans="1:2" ht="15.75" customHeight="1">
      <c r="A139" s="42">
        <v>68.5</v>
      </c>
      <c r="B139" s="43">
        <v>6.8</v>
      </c>
    </row>
    <row r="140" spans="1:2" ht="15.75" customHeight="1">
      <c r="A140" s="42">
        <v>69</v>
      </c>
      <c r="B140" s="43">
        <v>6.9</v>
      </c>
    </row>
    <row r="141" spans="1:2" ht="15.75" customHeight="1">
      <c r="A141" s="42">
        <v>69.5</v>
      </c>
      <c r="B141" s="43">
        <v>6.9</v>
      </c>
    </row>
    <row r="142" spans="1:2" ht="15.75" customHeight="1">
      <c r="A142" s="42">
        <v>70</v>
      </c>
      <c r="B142" s="43">
        <v>7</v>
      </c>
    </row>
    <row r="143" spans="1:2" ht="15.75" customHeight="1"/>
    <row r="144" spans="1:2"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00"/>
  <sheetViews>
    <sheetView workbookViewId="0"/>
  </sheetViews>
  <sheetFormatPr baseColWidth="10" defaultColWidth="14.42578125" defaultRowHeight="15" customHeight="1"/>
  <cols>
    <col min="1" max="6" width="10.7109375" customWidth="1"/>
  </cols>
  <sheetData>
    <row r="1" spans="1:2">
      <c r="A1" s="42" t="s">
        <v>95</v>
      </c>
      <c r="B1" s="42" t="s">
        <v>96</v>
      </c>
    </row>
    <row r="2" spans="1:2">
      <c r="A2" s="42">
        <v>0</v>
      </c>
      <c r="B2" s="8">
        <v>1</v>
      </c>
    </row>
    <row r="3" spans="1:2">
      <c r="A3" s="42">
        <v>1</v>
      </c>
      <c r="B3" s="8">
        <v>1.1000000000000001</v>
      </c>
    </row>
    <row r="4" spans="1:2">
      <c r="A4" s="42">
        <v>2</v>
      </c>
      <c r="B4" s="8">
        <v>1.2</v>
      </c>
    </row>
    <row r="5" spans="1:2">
      <c r="A5" s="42">
        <v>3</v>
      </c>
      <c r="B5" s="8">
        <v>1.3</v>
      </c>
    </row>
    <row r="6" spans="1:2">
      <c r="A6" s="42">
        <v>4</v>
      </c>
      <c r="B6" s="8">
        <v>1.4</v>
      </c>
    </row>
    <row r="7" spans="1:2">
      <c r="A7" s="42">
        <v>5</v>
      </c>
      <c r="B7" s="8">
        <v>1.5</v>
      </c>
    </row>
    <row r="8" spans="1:2">
      <c r="A8" s="42">
        <v>6</v>
      </c>
      <c r="B8" s="8">
        <v>1.6</v>
      </c>
    </row>
    <row r="9" spans="1:2">
      <c r="A9" s="42">
        <v>7</v>
      </c>
      <c r="B9" s="8">
        <v>1.7</v>
      </c>
    </row>
    <row r="10" spans="1:2">
      <c r="A10" s="42">
        <v>8</v>
      </c>
      <c r="B10" s="8">
        <v>1.8</v>
      </c>
    </row>
    <row r="11" spans="1:2">
      <c r="A11" s="42">
        <v>9</v>
      </c>
      <c r="B11" s="8">
        <v>1.9</v>
      </c>
    </row>
    <row r="12" spans="1:2">
      <c r="A12" s="42">
        <v>10</v>
      </c>
      <c r="B12" s="8">
        <v>2</v>
      </c>
    </row>
    <row r="13" spans="1:2">
      <c r="A13" s="42">
        <v>11</v>
      </c>
      <c r="B13" s="8">
        <v>2.1</v>
      </c>
    </row>
    <row r="14" spans="1:2">
      <c r="A14" s="42">
        <v>12</v>
      </c>
      <c r="B14" s="8">
        <v>2.2000000000000002</v>
      </c>
    </row>
    <row r="15" spans="1:2">
      <c r="A15" s="42">
        <v>13</v>
      </c>
      <c r="B15" s="8">
        <v>2.2999999999999998</v>
      </c>
    </row>
    <row r="16" spans="1:2">
      <c r="A16" s="42">
        <v>14</v>
      </c>
      <c r="B16" s="8">
        <v>2.2999999999999998</v>
      </c>
    </row>
    <row r="17" spans="1:2">
      <c r="A17" s="42">
        <v>15</v>
      </c>
      <c r="B17" s="8">
        <v>2.4</v>
      </c>
    </row>
    <row r="18" spans="1:2">
      <c r="A18" s="42">
        <v>16</v>
      </c>
      <c r="B18" s="8">
        <v>2.5</v>
      </c>
    </row>
    <row r="19" spans="1:2">
      <c r="A19" s="42">
        <v>17</v>
      </c>
      <c r="B19" s="8">
        <v>2.6</v>
      </c>
    </row>
    <row r="20" spans="1:2">
      <c r="A20" s="42">
        <v>18</v>
      </c>
      <c r="B20" s="8">
        <v>2.7</v>
      </c>
    </row>
    <row r="21" spans="1:2" ht="15.75" customHeight="1">
      <c r="A21" s="42">
        <v>19</v>
      </c>
      <c r="B21" s="8">
        <v>2.8</v>
      </c>
    </row>
    <row r="22" spans="1:2" ht="15.75" customHeight="1">
      <c r="A22" s="42">
        <v>20</v>
      </c>
      <c r="B22" s="8">
        <v>2.9</v>
      </c>
    </row>
    <row r="23" spans="1:2" ht="15.75" customHeight="1">
      <c r="A23" s="42">
        <v>21</v>
      </c>
      <c r="B23" s="8">
        <v>3</v>
      </c>
    </row>
    <row r="24" spans="1:2" ht="15.75" customHeight="1">
      <c r="A24" s="42">
        <v>22</v>
      </c>
      <c r="B24" s="8">
        <v>3.1</v>
      </c>
    </row>
    <row r="25" spans="1:2" ht="15.75" customHeight="1">
      <c r="A25" s="42">
        <v>23</v>
      </c>
      <c r="B25" s="8">
        <v>3.2</v>
      </c>
    </row>
    <row r="26" spans="1:2" ht="15.75" customHeight="1">
      <c r="A26" s="42">
        <v>24</v>
      </c>
      <c r="B26" s="8">
        <v>3.3</v>
      </c>
    </row>
    <row r="27" spans="1:2" ht="15.75" customHeight="1">
      <c r="A27" s="42">
        <v>25</v>
      </c>
      <c r="B27" s="8">
        <v>3.4</v>
      </c>
    </row>
    <row r="28" spans="1:2" ht="15.75" customHeight="1">
      <c r="A28" s="42">
        <v>26</v>
      </c>
      <c r="B28" s="8">
        <v>3.5</v>
      </c>
    </row>
    <row r="29" spans="1:2" ht="15.75" customHeight="1">
      <c r="A29" s="42">
        <v>27</v>
      </c>
      <c r="B29" s="8">
        <v>3.6</v>
      </c>
    </row>
    <row r="30" spans="1:2" ht="15.75" customHeight="1">
      <c r="A30" s="42">
        <v>28</v>
      </c>
      <c r="B30" s="8">
        <v>3.7</v>
      </c>
    </row>
    <row r="31" spans="1:2" ht="15.75" customHeight="1">
      <c r="A31" s="42">
        <v>29</v>
      </c>
      <c r="B31" s="8">
        <v>3.8</v>
      </c>
    </row>
    <row r="32" spans="1:2" ht="15.75" customHeight="1">
      <c r="A32" s="42">
        <v>30</v>
      </c>
      <c r="B32" s="8">
        <v>3.9</v>
      </c>
    </row>
    <row r="33" spans="1:2" ht="15.75" customHeight="1">
      <c r="A33" s="42">
        <v>31</v>
      </c>
      <c r="B33" s="8">
        <v>4</v>
      </c>
    </row>
    <row r="34" spans="1:2" ht="15.75" customHeight="1">
      <c r="A34" s="42">
        <v>32</v>
      </c>
      <c r="B34" s="8">
        <v>4.0999999999999996</v>
      </c>
    </row>
    <row r="35" spans="1:2" ht="15.75" customHeight="1">
      <c r="A35" s="42">
        <v>33</v>
      </c>
      <c r="B35" s="8">
        <v>4.3</v>
      </c>
    </row>
    <row r="36" spans="1:2" ht="15.75" customHeight="1">
      <c r="A36" s="42">
        <v>34</v>
      </c>
      <c r="B36" s="8">
        <v>4.4000000000000004</v>
      </c>
    </row>
    <row r="37" spans="1:2" ht="15.75" customHeight="1">
      <c r="A37" s="42">
        <v>35</v>
      </c>
      <c r="B37" s="8">
        <v>4.5</v>
      </c>
    </row>
    <row r="38" spans="1:2" ht="15.75" customHeight="1">
      <c r="A38" s="42">
        <v>36</v>
      </c>
      <c r="B38" s="8">
        <v>4.7</v>
      </c>
    </row>
    <row r="39" spans="1:2" ht="15.75" customHeight="1">
      <c r="A39" s="42">
        <v>37</v>
      </c>
      <c r="B39" s="8">
        <v>4.8</v>
      </c>
    </row>
    <row r="40" spans="1:2" ht="15.75" customHeight="1">
      <c r="A40" s="42">
        <v>38</v>
      </c>
      <c r="B40" s="8">
        <v>5</v>
      </c>
    </row>
    <row r="41" spans="1:2" ht="15.75" customHeight="1">
      <c r="A41" s="42">
        <v>39</v>
      </c>
      <c r="B41" s="8">
        <v>5.0999999999999996</v>
      </c>
    </row>
    <row r="42" spans="1:2" ht="15.75" customHeight="1">
      <c r="A42" s="42">
        <v>40</v>
      </c>
      <c r="B42" s="8">
        <v>5.3</v>
      </c>
    </row>
    <row r="43" spans="1:2" ht="15.75" customHeight="1">
      <c r="A43" s="42">
        <v>41</v>
      </c>
      <c r="B43" s="8">
        <v>5.4</v>
      </c>
    </row>
    <row r="44" spans="1:2" ht="15.75" customHeight="1">
      <c r="A44" s="42">
        <v>42</v>
      </c>
      <c r="B44" s="8">
        <v>5.6</v>
      </c>
    </row>
    <row r="45" spans="1:2" ht="15.75" customHeight="1">
      <c r="A45" s="42">
        <v>43</v>
      </c>
      <c r="B45" s="8">
        <v>5.7</v>
      </c>
    </row>
    <row r="46" spans="1:2" ht="15.75" customHeight="1">
      <c r="A46" s="42">
        <v>44</v>
      </c>
      <c r="B46" s="8">
        <v>5.8</v>
      </c>
    </row>
    <row r="47" spans="1:2" ht="15.75" customHeight="1">
      <c r="A47" s="42">
        <v>45</v>
      </c>
      <c r="B47" s="8">
        <v>6</v>
      </c>
    </row>
    <row r="48" spans="1:2" ht="15.75" customHeight="1">
      <c r="A48" s="42">
        <v>46</v>
      </c>
      <c r="B48" s="8">
        <v>6.1</v>
      </c>
    </row>
    <row r="49" spans="1:2" ht="15.75" customHeight="1">
      <c r="A49" s="42">
        <v>47</v>
      </c>
      <c r="B49" s="8">
        <v>6.3</v>
      </c>
    </row>
    <row r="50" spans="1:2" ht="15.75" customHeight="1">
      <c r="A50" s="42">
        <v>48</v>
      </c>
      <c r="B50" s="8">
        <v>6.4</v>
      </c>
    </row>
    <row r="51" spans="1:2" ht="15.75" customHeight="1">
      <c r="A51" s="42">
        <v>49</v>
      </c>
      <c r="B51" s="8">
        <v>6.6</v>
      </c>
    </row>
    <row r="52" spans="1:2" ht="15.75" customHeight="1">
      <c r="A52" s="42">
        <v>50</v>
      </c>
      <c r="B52" s="8">
        <v>6.7</v>
      </c>
    </row>
    <row r="53" spans="1:2" ht="15.75" customHeight="1">
      <c r="A53" s="42">
        <v>51</v>
      </c>
      <c r="B53" s="8">
        <v>6.9</v>
      </c>
    </row>
    <row r="54" spans="1:2" ht="15.75" customHeight="1">
      <c r="A54" s="42">
        <v>52</v>
      </c>
      <c r="B54" s="8">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00"/>
  <sheetViews>
    <sheetView workbookViewId="0"/>
  </sheetViews>
  <sheetFormatPr baseColWidth="10" defaultColWidth="14.42578125" defaultRowHeight="15" customHeight="1"/>
  <cols>
    <col min="1" max="6" width="10.7109375" customWidth="1"/>
  </cols>
  <sheetData>
    <row r="1" spans="1:2">
      <c r="A1" s="42" t="s">
        <v>15</v>
      </c>
      <c r="B1" s="42" t="s">
        <v>16</v>
      </c>
    </row>
    <row r="2" spans="1:2">
      <c r="A2" s="42">
        <v>0</v>
      </c>
      <c r="B2" s="43">
        <v>1</v>
      </c>
    </row>
    <row r="3" spans="1:2">
      <c r="A3" s="42">
        <v>0.5</v>
      </c>
      <c r="B3" s="43">
        <v>1.1000000000000001</v>
      </c>
    </row>
    <row r="4" spans="1:2">
      <c r="A4" s="42">
        <v>1</v>
      </c>
      <c r="B4" s="43">
        <v>1.2</v>
      </c>
    </row>
    <row r="5" spans="1:2">
      <c r="A5" s="42">
        <v>1.5</v>
      </c>
      <c r="B5" s="43">
        <v>1.3</v>
      </c>
    </row>
    <row r="6" spans="1:2">
      <c r="A6" s="42">
        <v>2</v>
      </c>
      <c r="B6" s="43">
        <v>1.3</v>
      </c>
    </row>
    <row r="7" spans="1:2">
      <c r="A7" s="42">
        <v>2.5</v>
      </c>
      <c r="B7" s="43">
        <v>1.4</v>
      </c>
    </row>
    <row r="8" spans="1:2">
      <c r="A8" s="42">
        <v>3</v>
      </c>
      <c r="B8" s="43">
        <v>1.5</v>
      </c>
    </row>
    <row r="9" spans="1:2">
      <c r="A9" s="42">
        <v>3.5</v>
      </c>
      <c r="B9" s="43">
        <v>1.6</v>
      </c>
    </row>
    <row r="10" spans="1:2">
      <c r="A10" s="42">
        <v>4</v>
      </c>
      <c r="B10" s="43">
        <v>1.7</v>
      </c>
    </row>
    <row r="11" spans="1:2">
      <c r="A11" s="42">
        <v>4.5</v>
      </c>
      <c r="B11" s="43">
        <v>1.8</v>
      </c>
    </row>
    <row r="12" spans="1:2">
      <c r="A12" s="42">
        <v>5</v>
      </c>
      <c r="B12" s="43">
        <v>1.8</v>
      </c>
    </row>
    <row r="13" spans="1:2">
      <c r="A13" s="42">
        <v>5.5</v>
      </c>
      <c r="B13" s="43">
        <v>1.9</v>
      </c>
    </row>
    <row r="14" spans="1:2">
      <c r="A14" s="42">
        <v>6</v>
      </c>
      <c r="B14" s="43">
        <v>2</v>
      </c>
    </row>
    <row r="15" spans="1:2">
      <c r="A15" s="42">
        <v>6.5</v>
      </c>
      <c r="B15" s="43">
        <v>2.1</v>
      </c>
    </row>
    <row r="16" spans="1:2">
      <c r="A16" s="42">
        <v>7</v>
      </c>
      <c r="B16" s="43">
        <v>2.2000000000000002</v>
      </c>
    </row>
    <row r="17" spans="1:2">
      <c r="A17" s="42">
        <v>7.5</v>
      </c>
      <c r="B17" s="43">
        <v>2.2999999999999998</v>
      </c>
    </row>
    <row r="18" spans="1:2">
      <c r="A18" s="42">
        <v>8</v>
      </c>
      <c r="B18" s="43">
        <v>2.2999999999999998</v>
      </c>
    </row>
    <row r="19" spans="1:2">
      <c r="A19" s="42">
        <v>8.5</v>
      </c>
      <c r="B19" s="43">
        <v>2.4</v>
      </c>
    </row>
    <row r="20" spans="1:2">
      <c r="A20" s="42">
        <v>9</v>
      </c>
      <c r="B20" s="43">
        <v>2.5</v>
      </c>
    </row>
    <row r="21" spans="1:2" ht="15.75" customHeight="1">
      <c r="A21" s="42">
        <v>9.5</v>
      </c>
      <c r="B21" s="43">
        <v>2.6</v>
      </c>
    </row>
    <row r="22" spans="1:2" ht="15.75" customHeight="1">
      <c r="A22" s="42">
        <v>10</v>
      </c>
      <c r="B22" s="43">
        <v>2.7</v>
      </c>
    </row>
    <row r="23" spans="1:2" ht="15.75" customHeight="1">
      <c r="A23" s="42">
        <v>10.5</v>
      </c>
      <c r="B23" s="43">
        <v>2.8</v>
      </c>
    </row>
    <row r="24" spans="1:2" ht="15.75" customHeight="1">
      <c r="A24" s="42">
        <v>11</v>
      </c>
      <c r="B24" s="43">
        <v>2.8</v>
      </c>
    </row>
    <row r="25" spans="1:2" ht="15.75" customHeight="1">
      <c r="A25" s="42">
        <v>11.5</v>
      </c>
      <c r="B25" s="43">
        <v>2.9</v>
      </c>
    </row>
    <row r="26" spans="1:2" ht="15.75" customHeight="1">
      <c r="A26" s="42">
        <v>12</v>
      </c>
      <c r="B26" s="43">
        <v>3</v>
      </c>
    </row>
    <row r="27" spans="1:2" ht="15.75" customHeight="1">
      <c r="A27" s="42">
        <v>12.5</v>
      </c>
      <c r="B27" s="43">
        <v>3.1</v>
      </c>
    </row>
    <row r="28" spans="1:2" ht="15.75" customHeight="1">
      <c r="A28" s="42">
        <v>13</v>
      </c>
      <c r="B28" s="43">
        <v>3.2</v>
      </c>
    </row>
    <row r="29" spans="1:2" ht="15.75" customHeight="1">
      <c r="A29" s="42">
        <v>13.5</v>
      </c>
      <c r="B29" s="43">
        <v>3.3</v>
      </c>
    </row>
    <row r="30" spans="1:2" ht="15.75" customHeight="1">
      <c r="A30" s="42">
        <v>14</v>
      </c>
      <c r="B30" s="43">
        <v>3.3</v>
      </c>
    </row>
    <row r="31" spans="1:2" ht="15.75" customHeight="1">
      <c r="A31" s="42">
        <v>14.5</v>
      </c>
      <c r="B31" s="43">
        <v>3.4</v>
      </c>
    </row>
    <row r="32" spans="1:2" ht="15.75" customHeight="1">
      <c r="A32" s="42">
        <v>15</v>
      </c>
      <c r="B32" s="43">
        <v>3.5</v>
      </c>
    </row>
    <row r="33" spans="1:2" ht="15.75" customHeight="1">
      <c r="A33" s="42">
        <v>15.5</v>
      </c>
      <c r="B33" s="43">
        <v>3.6</v>
      </c>
    </row>
    <row r="34" spans="1:2" ht="15.75" customHeight="1">
      <c r="A34" s="42">
        <v>16</v>
      </c>
      <c r="B34" s="43">
        <v>3.7</v>
      </c>
    </row>
    <row r="35" spans="1:2" ht="15.75" customHeight="1">
      <c r="A35" s="42">
        <v>16.5</v>
      </c>
      <c r="B35" s="43">
        <v>3.8</v>
      </c>
    </row>
    <row r="36" spans="1:2" ht="15.75" customHeight="1">
      <c r="A36" s="42">
        <v>17</v>
      </c>
      <c r="B36" s="43">
        <v>3.8</v>
      </c>
    </row>
    <row r="37" spans="1:2" ht="15.75" customHeight="1">
      <c r="A37" s="42">
        <v>17.5</v>
      </c>
      <c r="B37" s="43">
        <v>3.9</v>
      </c>
    </row>
    <row r="38" spans="1:2" ht="15.75" customHeight="1">
      <c r="A38" s="42">
        <v>18</v>
      </c>
      <c r="B38" s="43">
        <v>4</v>
      </c>
    </row>
    <row r="39" spans="1:2" ht="15.75" customHeight="1">
      <c r="A39" s="42">
        <v>18.5</v>
      </c>
      <c r="B39" s="43">
        <v>4.0999999999999996</v>
      </c>
    </row>
    <row r="40" spans="1:2" ht="15.75" customHeight="1">
      <c r="A40" s="42">
        <v>19</v>
      </c>
      <c r="B40" s="43">
        <v>4.3</v>
      </c>
    </row>
    <row r="41" spans="1:2" ht="15.75" customHeight="1">
      <c r="A41" s="42">
        <v>19.5</v>
      </c>
      <c r="B41" s="43">
        <v>4.4000000000000004</v>
      </c>
    </row>
    <row r="42" spans="1:2" ht="15.75" customHeight="1">
      <c r="A42" s="42">
        <v>20</v>
      </c>
      <c r="B42" s="43">
        <v>4.5</v>
      </c>
    </row>
    <row r="43" spans="1:2" ht="15.75" customHeight="1">
      <c r="A43" s="42">
        <v>20.5</v>
      </c>
      <c r="B43" s="43">
        <v>4.5999999999999996</v>
      </c>
    </row>
    <row r="44" spans="1:2" ht="15.75" customHeight="1">
      <c r="A44" s="42">
        <v>21</v>
      </c>
      <c r="B44" s="43">
        <v>4.8</v>
      </c>
    </row>
    <row r="45" spans="1:2" ht="15.75" customHeight="1">
      <c r="A45" s="42">
        <v>21.5</v>
      </c>
      <c r="B45" s="43">
        <v>4.9000000000000004</v>
      </c>
    </row>
    <row r="46" spans="1:2" ht="15.75" customHeight="1">
      <c r="A46" s="42">
        <v>22</v>
      </c>
      <c r="B46" s="43">
        <v>5</v>
      </c>
    </row>
    <row r="47" spans="1:2" ht="15.75" customHeight="1">
      <c r="A47" s="42">
        <v>22.5</v>
      </c>
      <c r="B47" s="43">
        <v>5.0999999999999996</v>
      </c>
    </row>
    <row r="48" spans="1:2" ht="15.75" customHeight="1">
      <c r="A48" s="42">
        <v>23</v>
      </c>
      <c r="B48" s="43">
        <v>5.3</v>
      </c>
    </row>
    <row r="49" spans="1:2" ht="15.75" customHeight="1">
      <c r="A49" s="42">
        <v>23.5</v>
      </c>
      <c r="B49" s="43">
        <v>5.4</v>
      </c>
    </row>
    <row r="50" spans="1:2" ht="15.75" customHeight="1">
      <c r="A50" s="42">
        <v>24</v>
      </c>
      <c r="B50" s="43">
        <v>5.5</v>
      </c>
    </row>
    <row r="51" spans="1:2" ht="15.75" customHeight="1">
      <c r="A51" s="42">
        <v>24.5</v>
      </c>
      <c r="B51" s="43">
        <v>5.6</v>
      </c>
    </row>
    <row r="52" spans="1:2" ht="15.75" customHeight="1">
      <c r="A52" s="42">
        <v>25</v>
      </c>
      <c r="B52" s="43">
        <v>5.8</v>
      </c>
    </row>
    <row r="53" spans="1:2" ht="15.75" customHeight="1">
      <c r="A53" s="42">
        <v>25.5</v>
      </c>
      <c r="B53" s="43">
        <v>5.9</v>
      </c>
    </row>
    <row r="54" spans="1:2" ht="15.75" customHeight="1">
      <c r="A54" s="42">
        <v>26</v>
      </c>
      <c r="B54" s="43">
        <v>6</v>
      </c>
    </row>
    <row r="55" spans="1:2" ht="15.75" customHeight="1">
      <c r="A55" s="42">
        <v>26.5</v>
      </c>
      <c r="B55" s="43">
        <v>6.1</v>
      </c>
    </row>
    <row r="56" spans="1:2" ht="15.75" customHeight="1">
      <c r="A56" s="42">
        <v>27</v>
      </c>
      <c r="B56" s="43">
        <v>6.3</v>
      </c>
    </row>
    <row r="57" spans="1:2" ht="15.75" customHeight="1">
      <c r="A57" s="42">
        <v>27.5</v>
      </c>
      <c r="B57" s="43">
        <v>6.4</v>
      </c>
    </row>
    <row r="58" spans="1:2" ht="15.75" customHeight="1">
      <c r="A58" s="42">
        <v>28</v>
      </c>
      <c r="B58" s="43">
        <v>6.5</v>
      </c>
    </row>
    <row r="59" spans="1:2" ht="15.75" customHeight="1">
      <c r="A59" s="42">
        <v>28.5</v>
      </c>
      <c r="B59" s="43">
        <v>6.6</v>
      </c>
    </row>
    <row r="60" spans="1:2" ht="15.75" customHeight="1">
      <c r="A60" s="42">
        <v>29</v>
      </c>
      <c r="B60" s="43">
        <v>6.8</v>
      </c>
    </row>
    <row r="61" spans="1:2" ht="15.75" customHeight="1">
      <c r="A61" s="42">
        <v>29.5</v>
      </c>
      <c r="B61" s="43">
        <v>6.9</v>
      </c>
    </row>
    <row r="62" spans="1:2" ht="15.75" customHeight="1">
      <c r="A62" s="42">
        <v>30</v>
      </c>
      <c r="B62" s="43">
        <v>7</v>
      </c>
    </row>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000"/>
  <sheetViews>
    <sheetView workbookViewId="0"/>
  </sheetViews>
  <sheetFormatPr baseColWidth="10" defaultColWidth="14.42578125" defaultRowHeight="15" customHeight="1"/>
  <cols>
    <col min="1" max="6" width="10.7109375" customWidth="1"/>
  </cols>
  <sheetData>
    <row r="1" spans="1:5">
      <c r="A1" s="76" t="s">
        <v>97</v>
      </c>
      <c r="B1" s="44" t="s">
        <v>15</v>
      </c>
      <c r="C1" s="45"/>
      <c r="D1" s="45"/>
      <c r="E1" s="46"/>
    </row>
    <row r="2" spans="1:5" ht="45">
      <c r="A2" s="77"/>
      <c r="B2" s="47" t="s">
        <v>11</v>
      </c>
      <c r="C2" s="48" t="s">
        <v>12</v>
      </c>
      <c r="D2" s="48" t="s">
        <v>22</v>
      </c>
      <c r="E2" s="49" t="s">
        <v>14</v>
      </c>
    </row>
    <row r="3" spans="1:5" ht="30">
      <c r="A3" s="50" t="s">
        <v>98</v>
      </c>
      <c r="B3" s="51">
        <v>4</v>
      </c>
      <c r="C3" s="51">
        <v>3</v>
      </c>
      <c r="D3" s="51">
        <v>2</v>
      </c>
      <c r="E3" s="51">
        <v>0</v>
      </c>
    </row>
    <row r="4" spans="1:5">
      <c r="A4" s="50"/>
      <c r="B4" s="51"/>
      <c r="C4" s="51"/>
      <c r="D4" s="51"/>
      <c r="E4" s="51"/>
    </row>
    <row r="5" spans="1:5">
      <c r="A5" s="50"/>
      <c r="B5" s="51"/>
      <c r="C5" s="51"/>
      <c r="D5" s="51"/>
      <c r="E5" s="5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EVALUACION1</vt:lpstr>
      <vt:lpstr>G5</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AV-Alumno</dc:creator>
  <cp:lastModifiedBy>AV-Alumno</cp:lastModifiedBy>
  <dcterms:created xsi:type="dcterms:W3CDTF">2026-09-11T12:28:31Z</dcterms:created>
  <dcterms:modified xsi:type="dcterms:W3CDTF">2026-09-11T13:18:24Z</dcterms:modified>
</cp:coreProperties>
</file>